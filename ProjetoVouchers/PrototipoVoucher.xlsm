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63e13e91384143c/Documentos/GitHub/ProjetosExcel/ProjetoVouchers/"/>
    </mc:Choice>
  </mc:AlternateContent>
  <xr:revisionPtr revIDLastSave="21" documentId="13_ncr:1_{C34E0E2F-16B2-43B9-A9AF-0BFAC207AB0D}" xr6:coauthVersionLast="47" xr6:coauthVersionMax="47" xr10:uidLastSave="{6FEE8569-F993-40AF-9749-D08893062CF2}"/>
  <workbookProtection workbookAlgorithmName="SHA-512" workbookHashValue="ri3kbqfQmXaRbXQYHVnEXqGiRtubpGkyMLMuTWSId+I31coURBZLgh0ox3cvh6gm+XKnmGIO8FsdGucWO5tLSA==" workbookSaltValue="F41u1+xch6Vb0rwyX+AcOA==" workbookSpinCount="100000" lockStructure="1"/>
  <bookViews>
    <workbookView xWindow="-120" yWindow="-120" windowWidth="29040" windowHeight="15720" tabRatio="787" activeTab="4" xr2:uid="{1CB10E19-3FA0-461B-BE79-C46590EFD344}"/>
  </bookViews>
  <sheets>
    <sheet name="Menu" sheetId="18" r:id="rId1"/>
    <sheet name="Cadastro" sheetId="1" r:id="rId2"/>
    <sheet name="Confirmação" sheetId="8" r:id="rId3"/>
    <sheet name="Venda" sheetId="9" r:id="rId4"/>
    <sheet name="Confirmação de Venda" sheetId="12" r:id="rId5"/>
    <sheet name="Ativação" sheetId="14" r:id="rId6"/>
    <sheet name="Confirmação de Ativação" sheetId="16" r:id="rId7"/>
    <sheet name="Alteração" sheetId="17" r:id="rId8"/>
    <sheet name="BancoCadastros" sheetId="7" r:id="rId9"/>
    <sheet name="ListasDeDados" sheetId="6" r:id="rId10"/>
  </sheets>
  <externalReferences>
    <externalReference r:id="rId11"/>
  </externalReferenc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6" l="1"/>
  <c r="T4" i="17"/>
  <c r="S4" i="17"/>
  <c r="R4" i="17"/>
  <c r="Q4" i="17"/>
  <c r="P4" i="17"/>
  <c r="O4" i="17"/>
  <c r="N4" i="17"/>
  <c r="M4" i="17"/>
  <c r="L4" i="17"/>
  <c r="K4" i="17"/>
  <c r="J4" i="17"/>
  <c r="I4" i="17"/>
  <c r="H4" i="17"/>
  <c r="G4" i="17"/>
  <c r="F4" i="17"/>
  <c r="E4" i="17"/>
  <c r="D4" i="17"/>
  <c r="C4" i="17"/>
  <c r="C5" i="1"/>
  <c r="C7" i="16"/>
  <c r="C9" i="16"/>
  <c r="C10" i="16"/>
  <c r="C6" i="16"/>
  <c r="T4" i="7"/>
  <c r="C5" i="8"/>
  <c r="C6" i="8"/>
  <c r="C7" i="8"/>
  <c r="C8" i="8"/>
  <c r="C9" i="8"/>
  <c r="C10" i="8"/>
  <c r="C11" i="8"/>
  <c r="C5" i="14"/>
  <c r="C5" i="16" s="1"/>
  <c r="C5" i="12"/>
  <c r="C5" i="9"/>
  <c r="S4" i="7"/>
  <c r="C8" i="12" l="1"/>
  <c r="C9" i="12"/>
  <c r="C10" i="12"/>
  <c r="C7" i="12" l="1"/>
  <c r="C6" i="12"/>
  <c r="C12" i="1" l="1" a="1"/>
  <c r="C12" i="1" s="1"/>
  <c r="C12" i="8" s="1"/>
  <c r="B4" i="7" l="1"/>
  <c r="J4" i="6" l="1"/>
  <c r="N4" i="6"/>
  <c r="O8" i="6" l="1"/>
  <c r="O6" i="6"/>
  <c r="O7" i="6"/>
  <c r="O9" i="6"/>
  <c r="O5" i="6"/>
  <c r="O4" i="6"/>
  <c r="K9" i="6"/>
  <c r="K8" i="6"/>
  <c r="K7" i="6"/>
  <c r="K6" i="6"/>
  <c r="K5" i="6"/>
  <c r="K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Vinicius M.</author>
  </authors>
  <commentList>
    <comment ref="B7" authorId="0" shapeId="0" xr:uid="{FE1135AD-DA94-4B09-A1E8-CC360390F946}">
      <text>
        <r>
          <rPr>
            <b/>
            <sz val="9"/>
            <color indexed="81"/>
            <rFont val="Segoe UI"/>
            <family val="2"/>
          </rPr>
          <t>Em caso de múltiplos campos com necessidade de alteração repita o processo de preenchimento mudando o campo e o valor.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<sst xmlns="http://schemas.openxmlformats.org/spreadsheetml/2006/main" count="320" uniqueCount="227">
  <si>
    <t>Data</t>
  </si>
  <si>
    <t>Cliente</t>
  </si>
  <si>
    <t>Valor</t>
  </si>
  <si>
    <t>ID Voucher</t>
  </si>
  <si>
    <t>Unidade</t>
  </si>
  <si>
    <t>Tipo de Voucher</t>
  </si>
  <si>
    <t>Cadastro de Vouchers</t>
  </si>
  <si>
    <t>ID da última venda</t>
  </si>
  <si>
    <t>Confirmação de Cadastro:</t>
  </si>
  <si>
    <t>ID que necessita de alteração</t>
  </si>
  <si>
    <t>Solicitação de alteração</t>
  </si>
  <si>
    <t>Forma com que o ID se apresenta na Base</t>
  </si>
  <si>
    <t>ProcvID</t>
  </si>
  <si>
    <t>Solicitante</t>
  </si>
  <si>
    <t xml:space="preserve">Voucher </t>
  </si>
  <si>
    <t>Status</t>
  </si>
  <si>
    <t>Operação</t>
  </si>
  <si>
    <t>Status do Voucher</t>
  </si>
  <si>
    <t>Índice</t>
  </si>
  <si>
    <t>Ativação</t>
  </si>
  <si>
    <t>Cadastro</t>
  </si>
  <si>
    <t>Atendende</t>
  </si>
  <si>
    <t>Atendente</t>
  </si>
  <si>
    <t>Data de Cadastro</t>
  </si>
  <si>
    <t>Venda de Vouchers</t>
  </si>
  <si>
    <t>Telefone</t>
  </si>
  <si>
    <t>Massagem</t>
  </si>
  <si>
    <t>Ibirapuera</t>
  </si>
  <si>
    <t>Data Venda</t>
  </si>
  <si>
    <t>Data Ativação</t>
  </si>
  <si>
    <t>Data Cadastro</t>
  </si>
  <si>
    <t>VDP ID A</t>
  </si>
  <si>
    <t>VDP ID V</t>
  </si>
  <si>
    <t>Cliente Venda</t>
  </si>
  <si>
    <t>Cliente Ativação</t>
  </si>
  <si>
    <t>Telefone V</t>
  </si>
  <si>
    <t>Telefone A</t>
  </si>
  <si>
    <t>Telefone Venda</t>
  </si>
  <si>
    <t>Telefone Ativação</t>
  </si>
  <si>
    <t>Índices (Vender)</t>
  </si>
  <si>
    <t>índice+Coluna</t>
  </si>
  <si>
    <t>Destino</t>
  </si>
  <si>
    <t>Atendente Cadastro</t>
  </si>
  <si>
    <t>Atendente Venda</t>
  </si>
  <si>
    <t>Atendente Ativação</t>
  </si>
  <si>
    <t>Índices (Ativação)</t>
  </si>
  <si>
    <t>Venda</t>
  </si>
  <si>
    <t>Campo que precisa ser alterado</t>
  </si>
  <si>
    <t>Valor novo do campo</t>
  </si>
  <si>
    <t>Exemplo</t>
  </si>
  <si>
    <t>Cliente ativação</t>
  </si>
  <si>
    <t>Mariana</t>
  </si>
  <si>
    <t>Claudia</t>
  </si>
  <si>
    <t>Menu - Ações -Ibirapuera</t>
  </si>
  <si>
    <t>Atendente de Ativação</t>
  </si>
  <si>
    <t>Atendentes</t>
  </si>
  <si>
    <t>Fabio</t>
  </si>
  <si>
    <t>Fabiana</t>
  </si>
  <si>
    <t>Fátima</t>
  </si>
  <si>
    <t>Físico Grande</t>
  </si>
  <si>
    <t>Físico Pequeno</t>
  </si>
  <si>
    <t>Físico Pequeno Crédito</t>
  </si>
  <si>
    <t>Online - Wesley</t>
  </si>
  <si>
    <t>Wesley</t>
  </si>
  <si>
    <t>Serviço</t>
  </si>
  <si>
    <t>Serviços</t>
  </si>
  <si>
    <t xml:space="preserve">1751-Candle Massage 90 Dom </t>
  </si>
  <si>
    <t>1774-Drenagem 50</t>
  </si>
  <si>
    <t xml:space="preserve">1774-Drenagem 50 </t>
  </si>
  <si>
    <t>1775-Drenagem 50 Dom</t>
  </si>
  <si>
    <t xml:space="preserve">1775-Drenagem 50 Dom </t>
  </si>
  <si>
    <t>1776-Drenagem 60</t>
  </si>
  <si>
    <t xml:space="preserve">1776-Drenagem 60 </t>
  </si>
  <si>
    <t>1777-Drenagem 60 Dom</t>
  </si>
  <si>
    <t xml:space="preserve">1777-Drenagem 60 Dom </t>
  </si>
  <si>
    <t>1782-Drenagem Facial 50</t>
  </si>
  <si>
    <t xml:space="preserve">1782-Drenagem Facial 50 </t>
  </si>
  <si>
    <t xml:space="preserve">1783-Drenagem Facial 50 Dom </t>
  </si>
  <si>
    <t>1795-Limpeza de Pele 90 Dom</t>
  </si>
  <si>
    <t xml:space="preserve">1795-Limpeza de Pele 90 Dom </t>
  </si>
  <si>
    <t>1800-Massagem Lifting Facial 50</t>
  </si>
  <si>
    <t xml:space="preserve">1800-Massagem Lifting Facial 50 </t>
  </si>
  <si>
    <t xml:space="preserve">1801-Massagem Lifting Facial 50 Dom </t>
  </si>
  <si>
    <t>1803-Massagem Modeladora 50 Dom</t>
  </si>
  <si>
    <t xml:space="preserve">1803-Massagem Modeladora 50 Dom </t>
  </si>
  <si>
    <t>33369950-Experiência Ayurveda (ayurv60+IH)</t>
  </si>
  <si>
    <t xml:space="preserve">33369950-Experiência Ayurveda (ayurv60+IH) </t>
  </si>
  <si>
    <t>33369951-Experiência Ayurveda (ayurv90+IH)</t>
  </si>
  <si>
    <t>33453358-Brazilian Massage 90 Dom</t>
  </si>
  <si>
    <t>1736-Alongamento 30</t>
  </si>
  <si>
    <t xml:space="preserve">1802-Massagem Modeladora 50 </t>
  </si>
  <si>
    <t xml:space="preserve">1737-Alongamento 30 Dom </t>
  </si>
  <si>
    <t>1738-Ayurvedica 50</t>
  </si>
  <si>
    <t xml:space="preserve">1739-Ayurvedica 50 Dom </t>
  </si>
  <si>
    <t>1740-Ayurvedica 60</t>
  </si>
  <si>
    <t>1741-Ayurvedica 60 Dom</t>
  </si>
  <si>
    <t>1742-Ayurvedica 90</t>
  </si>
  <si>
    <t xml:space="preserve">1743-Ayurvedica 90 Dom </t>
  </si>
  <si>
    <t>1744-Banho de Imersao Casal</t>
  </si>
  <si>
    <t>1745-Banho de Imersao Casal 30 DOM</t>
  </si>
  <si>
    <t>1746-Banho de Imersao Ind. 30 DOM</t>
  </si>
  <si>
    <t>1747-Banho de Imersao Ind. 30</t>
  </si>
  <si>
    <t>1748-Candle Massage 60</t>
  </si>
  <si>
    <t>1749-Candle Massage 60 Dom</t>
  </si>
  <si>
    <t>1750-Candle Massage 90</t>
  </si>
  <si>
    <t>1768-Desportiva 50</t>
  </si>
  <si>
    <t>1769-Desportiva 50 Dom</t>
  </si>
  <si>
    <t>1778-Drenagem 90</t>
  </si>
  <si>
    <t>1779-Drenagem 90 Dom</t>
  </si>
  <si>
    <t>1780-Drenagem Facial 30</t>
  </si>
  <si>
    <t xml:space="preserve">1781-Drenagem Facial 30 Dom </t>
  </si>
  <si>
    <t>1784-Esfoliacao Corporal 60</t>
  </si>
  <si>
    <t>1785-Esfoliacao Corporal 60 Dom</t>
  </si>
  <si>
    <t>1788-Gestacao Leve e Tranquila</t>
  </si>
  <si>
    <t xml:space="preserve">1789-Gestacao Leve e Tranquila 50 Dom </t>
  </si>
  <si>
    <t>1790-Gestacao Leve e Tranquila 75</t>
  </si>
  <si>
    <t>1791-Gestacao Leve e Tranquila 75 Dom</t>
  </si>
  <si>
    <t>1792-Indian Head 20</t>
  </si>
  <si>
    <t xml:space="preserve">1793-Indian Head Dom </t>
  </si>
  <si>
    <t>1794-Limpeza de Pele 90</t>
  </si>
  <si>
    <t xml:space="preserve">1796-Mamae em Forma 50 </t>
  </si>
  <si>
    <t>1798-Massagem Lifting Facial 30</t>
  </si>
  <si>
    <t>1799-Massagem Lifting Facial 30 Dom</t>
  </si>
  <si>
    <t>1808-Reflexologia 30</t>
  </si>
  <si>
    <t>1809-Reflexologia 30 Dom</t>
  </si>
  <si>
    <t>1810-Reflexologia 45</t>
  </si>
  <si>
    <t xml:space="preserve">1811-Reflexologia 45 Dom </t>
  </si>
  <si>
    <t>1812-Relaxante 30</t>
  </si>
  <si>
    <t>1813-Relaxante 30 Dom</t>
  </si>
  <si>
    <t>1814-Relaxante 60</t>
  </si>
  <si>
    <t>1815-Relaxante 60 Dom</t>
  </si>
  <si>
    <t>1816-Relaxante 90</t>
  </si>
  <si>
    <t xml:space="preserve">1817-Relaxante 90 Dom </t>
  </si>
  <si>
    <t>1818-Relaxante Buddha Spa 50</t>
  </si>
  <si>
    <t>1819-Relaxante Buddha Spa 50 Dom</t>
  </si>
  <si>
    <t>1820-Relaxante Mencare 50</t>
  </si>
  <si>
    <t xml:space="preserve">1821-Relaxante Mencare Dom </t>
  </si>
  <si>
    <t>1824-Shiatsu 30</t>
  </si>
  <si>
    <t xml:space="preserve">1825-Shiatsu 30 Dom </t>
  </si>
  <si>
    <t>1826-Shiatsu 45</t>
  </si>
  <si>
    <t>1827-Shiatsu 45 Dom</t>
  </si>
  <si>
    <t>1828-Shiatsu 60</t>
  </si>
  <si>
    <t>1829-Shiatsu 60 Dom</t>
  </si>
  <si>
    <t>1830-Shiatsu 90</t>
  </si>
  <si>
    <t xml:space="preserve">1831-Shiatsu 90 Dom </t>
  </si>
  <si>
    <t>1832-Shiatsu Facial 30</t>
  </si>
  <si>
    <t xml:space="preserve">1833-Shiatsu Facial 30 Dom </t>
  </si>
  <si>
    <t>1834-Spa dos Pes 30</t>
  </si>
  <si>
    <t xml:space="preserve">1836-Spa dos Pes 45 </t>
  </si>
  <si>
    <t>1848-Alongamento 30</t>
  </si>
  <si>
    <t>1852-Ayurvedica 60</t>
  </si>
  <si>
    <t>1853-Ayurvedica 60 Dom</t>
  </si>
  <si>
    <t>1854-Ayurvedica 90</t>
  </si>
  <si>
    <t xml:space="preserve">1855-Ayurvedica 90 Dom </t>
  </si>
  <si>
    <t>1856-Banho de Imersao Casal 30</t>
  </si>
  <si>
    <t>1857-Banho de Imersao Casal 30 DOM</t>
  </si>
  <si>
    <t>1858-Banho de Imersao Ind. 30</t>
  </si>
  <si>
    <t>1859-Banho de Imersao Ind. 30 DOM</t>
  </si>
  <si>
    <t>1862-Candle Massage 60</t>
  </si>
  <si>
    <t xml:space="preserve">1863-Candle Massage 60 Dom </t>
  </si>
  <si>
    <t>1864-Candle Massage 90</t>
  </si>
  <si>
    <t>1881-Desportiva 50</t>
  </si>
  <si>
    <t xml:space="preserve">1882-Desportiva 50 Dom </t>
  </si>
  <si>
    <t>1887-Drenagem 50</t>
  </si>
  <si>
    <t>1888-Drenagem 50 Dom</t>
  </si>
  <si>
    <t>1891-Drenagem 90</t>
  </si>
  <si>
    <t>1893-Drenagem Facial 30</t>
  </si>
  <si>
    <t>1894-Drenagem Facial 30 Dom</t>
  </si>
  <si>
    <t>1895-Drenagem Facial 50</t>
  </si>
  <si>
    <t>1899-Esfoliacao Corporal 60</t>
  </si>
  <si>
    <t>1905-Gestacao Leve e Tranquila</t>
  </si>
  <si>
    <t>1907-Gestacao Leve e Tranquila 75</t>
  </si>
  <si>
    <t>1909-Indian Head 20</t>
  </si>
  <si>
    <t>1910-Indian Head 20 Dom</t>
  </si>
  <si>
    <t>1911-Limpeza de Pele 90</t>
  </si>
  <si>
    <t>1913-Mamae em Forma 50</t>
  </si>
  <si>
    <t xml:space="preserve">1914-Mamae em Forma 50 Dom </t>
  </si>
  <si>
    <t>1915-Massagem Lifting Facial 30</t>
  </si>
  <si>
    <t>1916-Massagem Lifting Facial 30 Dom</t>
  </si>
  <si>
    <t>1917-Massagem Lifting Facial 50</t>
  </si>
  <si>
    <t xml:space="preserve">1918-Massagem Lifting Facial 50 Dom </t>
  </si>
  <si>
    <t>1920-Massagem Modeladora 50 Dom</t>
  </si>
  <si>
    <t>1933-Reflexologia 30</t>
  </si>
  <si>
    <t>1934-Reflexologia 30 Dom</t>
  </si>
  <si>
    <t>1935-Reflexologia 45</t>
  </si>
  <si>
    <t xml:space="preserve">1936-Reflexologia 45 Dom </t>
  </si>
  <si>
    <t>1937-Relaxante 30</t>
  </si>
  <si>
    <t>1938-Relaxante 30 Dom</t>
  </si>
  <si>
    <t>1941-Relaxante 60</t>
  </si>
  <si>
    <t>1942-Relaxante 60 Dom</t>
  </si>
  <si>
    <t>1943-Relaxante 90</t>
  </si>
  <si>
    <t>1944-Relaxante 90 Dom</t>
  </si>
  <si>
    <t>1945-Relaxante Buddha Spa 50</t>
  </si>
  <si>
    <t>1946-Relaxante Buddha Spa 50 Dom</t>
  </si>
  <si>
    <t>1947-Relaxante Mencare 50</t>
  </si>
  <si>
    <t>1951-Shiatsu 30</t>
  </si>
  <si>
    <t>1952-Shiatsu 30 Dom</t>
  </si>
  <si>
    <t>1953-Shiatsu 45</t>
  </si>
  <si>
    <t xml:space="preserve">1954-Shiatsu 45 Dom </t>
  </si>
  <si>
    <t>1957-Shiatsu 60</t>
  </si>
  <si>
    <t>1958-Shiatsu 60 Dom</t>
  </si>
  <si>
    <t>1959-Shiatsu 90</t>
  </si>
  <si>
    <t>1960-Shiatsu 90 Dom</t>
  </si>
  <si>
    <t>1961-Shiatsu Facial 30</t>
  </si>
  <si>
    <t xml:space="preserve">1962-Shiatsu Facial 30 Dom </t>
  </si>
  <si>
    <t>1966-Spa dos pes 30</t>
  </si>
  <si>
    <t xml:space="preserve">1967-Spa dos pes 30 Dom </t>
  </si>
  <si>
    <t>33337139-Experiência Ayurveda (ayurv60+IH)</t>
  </si>
  <si>
    <t>33337140-Experiência Ayurveda (ayurv90+IH)</t>
  </si>
  <si>
    <t>33339151-Ayurvedica 50</t>
  </si>
  <si>
    <t xml:space="preserve">33339152-Ayurvedica 50 Dom </t>
  </si>
  <si>
    <t>33353166-Massagem Modeladora 50</t>
  </si>
  <si>
    <t>33353167-Limpeza de Pele 90</t>
  </si>
  <si>
    <t>33353168-Limpeza de Pele 90 Dom</t>
  </si>
  <si>
    <t>33429928-Brazilian Massage 60</t>
  </si>
  <si>
    <t>33429929-Brazilian Massage 90</t>
  </si>
  <si>
    <t>33442827-Brazilian Massage 60</t>
  </si>
  <si>
    <t>33453357-Brazilian Massage 60 Dom</t>
  </si>
  <si>
    <t>55501376-Drenagem 50</t>
  </si>
  <si>
    <t>55501377-Drenagem 50 Dom</t>
  </si>
  <si>
    <t>55501378-Drenagem Facial 50</t>
  </si>
  <si>
    <t xml:space="preserve">55501379-Drenagem Facial 50 Dom </t>
  </si>
  <si>
    <t>55501381-Massagem Lifting Facial 50</t>
  </si>
  <si>
    <t>55501383-Massagem Modeladora 50</t>
  </si>
  <si>
    <t>55501384-Massagem Modeladora 50 Dom</t>
  </si>
  <si>
    <t>Crédito para Cliente</t>
  </si>
  <si>
    <t>Ativação de Vouchers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</si>
</sst>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0" x14ac:knownFonts="1">
    <font>
      <sz val="11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i/>
      <sz val="18"/>
      <color theme="1"/>
      <name val="Aptos Narrow"/>
      <family val="2"/>
      <scheme val="minor"/>
    </font>
    <font>
      <sz val="20"/>
      <color theme="1"/>
      <name val="Cascadia Mono SemiLight"/>
      <family val="3"/>
    </font>
    <font>
      <i/>
      <sz val="20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20"/>
      <color theme="2"/>
      <name val="Cascadia Mono SemiLight"/>
      <family val="3"/>
    </font>
    <font>
      <sz val="11"/>
      <color theme="1"/>
      <name val="Aptos Narrow"/>
      <family val="2"/>
      <scheme val="minor"/>
    </font>
    <font>
      <b/>
      <sz val="9"/>
      <color indexed="81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C1C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CFF89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BF9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4" fontId="8" fillId="0" borderId="0" applyFon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horizontal="center" vertical="center"/>
    </xf>
    <xf numFmtId="0" fontId="5" fillId="0" borderId="2" xfId="0" applyFont="1" applyBorder="1" applyAlignment="1" applyProtection="1">
      <alignment horizontal="center"/>
      <protection locked="0"/>
    </xf>
    <xf numFmtId="22" fontId="5" fillId="0" borderId="2" xfId="0" applyNumberFormat="1" applyFont="1" applyBorder="1" applyAlignment="1">
      <alignment horizontal="center" vertical="center"/>
    </xf>
    <xf numFmtId="22" fontId="0" fillId="0" borderId="0" xfId="0" applyNumberFormat="1"/>
    <xf numFmtId="0" fontId="6" fillId="0" borderId="0" xfId="0" applyFont="1" applyAlignment="1">
      <alignment horizontal="center" vertical="center"/>
    </xf>
    <xf numFmtId="0" fontId="0" fillId="5" borderId="0" xfId="0" applyFill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22" fontId="0" fillId="0" borderId="13" xfId="0" applyNumberFormat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/>
    <xf numFmtId="0" fontId="0" fillId="5" borderId="9" xfId="0" applyFill="1" applyBorder="1" applyAlignment="1">
      <alignment horizontal="center" vertical="center"/>
    </xf>
    <xf numFmtId="44" fontId="0" fillId="0" borderId="0" xfId="1" applyFont="1" applyAlignment="1">
      <alignment horizontal="center" vertical="center"/>
    </xf>
    <xf numFmtId="44" fontId="0" fillId="5" borderId="9" xfId="1" applyFont="1" applyFill="1" applyBorder="1" applyAlignment="1">
      <alignment horizontal="center" vertical="center"/>
    </xf>
    <xf numFmtId="0" fontId="0" fillId="0" borderId="0" xfId="0" quotePrefix="1"/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5" fillId="0" borderId="1" xfId="0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/>
      <protection locked="0"/>
    </xf>
    <xf numFmtId="44" fontId="5" fillId="0" borderId="2" xfId="1" applyFont="1" applyBorder="1" applyAlignment="1" applyProtection="1">
      <alignment horizontal="center"/>
      <protection locked="0"/>
    </xf>
    <xf numFmtId="0" fontId="5" fillId="0" borderId="3" xfId="0" applyFont="1" applyBorder="1" applyAlignment="1">
      <alignment horizontal="left" vertical="center"/>
    </xf>
    <xf numFmtId="0" fontId="5" fillId="0" borderId="4" xfId="0" applyFont="1" applyBorder="1" applyAlignment="1">
      <alignment horizontal="center" vertical="center"/>
    </xf>
    <xf numFmtId="44" fontId="5" fillId="0" borderId="2" xfId="1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>
      <alignment horizontal="left"/>
    </xf>
    <xf numFmtId="0" fontId="5" fillId="0" borderId="2" xfId="0" applyFont="1" applyBorder="1" applyAlignment="1">
      <alignment horizontal="center"/>
    </xf>
    <xf numFmtId="44" fontId="5" fillId="0" borderId="2" xfId="1" applyFont="1" applyBorder="1" applyAlignment="1" applyProtection="1">
      <alignment horizontal="center"/>
    </xf>
    <xf numFmtId="0" fontId="5" fillId="0" borderId="7" xfId="0" applyFont="1" applyBorder="1" applyAlignment="1">
      <alignment horizontal="left"/>
    </xf>
    <xf numFmtId="0" fontId="5" fillId="0" borderId="8" xfId="0" applyFont="1" applyBorder="1" applyAlignment="1">
      <alignment horizontal="center"/>
    </xf>
    <xf numFmtId="0" fontId="5" fillId="0" borderId="3" xfId="0" applyFont="1" applyBorder="1" applyAlignment="1">
      <alignment horizontal="left"/>
    </xf>
    <xf numFmtId="0" fontId="5" fillId="0" borderId="4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0" fontId="0" fillId="0" borderId="13" xfId="0" applyBorder="1" applyAlignment="1">
      <alignment horizontal="center" vertical="center"/>
    </xf>
    <xf numFmtId="44" fontId="0" fillId="0" borderId="13" xfId="1" applyFont="1" applyBorder="1" applyAlignment="1" applyProtection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7" fillId="4" borderId="6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3" fillId="8" borderId="5" xfId="0" applyFont="1" applyFill="1" applyBorder="1" applyAlignment="1">
      <alignment horizontal="center"/>
    </xf>
    <xf numFmtId="0" fontId="3" fillId="8" borderId="6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3" fillId="10" borderId="5" xfId="0" applyFont="1" applyFill="1" applyBorder="1" applyAlignment="1">
      <alignment horizontal="center"/>
    </xf>
    <xf numFmtId="0" fontId="3" fillId="10" borderId="6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0" fontId="3" fillId="11" borderId="5" xfId="0" applyFont="1" applyFill="1" applyBorder="1" applyAlignment="1">
      <alignment horizontal="center"/>
    </xf>
    <xf numFmtId="0" fontId="3" fillId="11" borderId="6" xfId="0" applyFont="1" applyFill="1" applyBorder="1" applyAlignment="1">
      <alignment horizontal="center"/>
    </xf>
    <xf numFmtId="0" fontId="4" fillId="12" borderId="1" xfId="0" applyFont="1" applyFill="1" applyBorder="1" applyAlignment="1">
      <alignment horizontal="center"/>
    </xf>
    <xf numFmtId="0" fontId="4" fillId="12" borderId="2" xfId="0" applyFont="1" applyFill="1" applyBorder="1" applyAlignment="1">
      <alignment horizontal="center"/>
    </xf>
    <xf numFmtId="0" fontId="3" fillId="13" borderId="5" xfId="0" applyFont="1" applyFill="1" applyBorder="1" applyAlignment="1">
      <alignment horizontal="center"/>
    </xf>
    <xf numFmtId="0" fontId="3" fillId="13" borderId="6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center"/>
    </xf>
    <xf numFmtId="0" fontId="4" fillId="14" borderId="2" xfId="0" applyFont="1" applyFill="1" applyBorder="1" applyAlignment="1">
      <alignment horizont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</cellXfs>
  <cellStyles count="2">
    <cellStyle name="Moeda" xfId="1" builtinId="4"/>
    <cellStyle name="Normal" xfId="0" builtinId="0"/>
  </cellStyles>
  <dxfs count="20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7" formatCode="dd/mm/yyyy\ hh:mm"/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ACA800"/>
      <color rgb="FFBCB800"/>
      <color rgb="FFB5C800"/>
      <color rgb="FF304A06"/>
      <color rgb="FFBF9FFF"/>
      <color rgb="FF9933FF"/>
      <color rgb="FFE6C5F3"/>
      <color rgb="FFFCFF89"/>
      <color rgb="FFFFFFB9"/>
      <color rgb="FFF8FF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0</xdr:colOff>
      <xdr:row>5</xdr:row>
      <xdr:rowOff>9525</xdr:rowOff>
    </xdr:from>
    <xdr:ext cx="2781300" cy="457200"/>
    <xdr:sp macro="[0]!MenuCadastro" textlink="">
      <xdr:nvSpPr>
        <xdr:cNvPr id="2" name="Retângulo 1">
          <a:extLst>
            <a:ext uri="{FF2B5EF4-FFF2-40B4-BE49-F238E27FC236}">
              <a16:creationId xmlns:a16="http://schemas.microsoft.com/office/drawing/2014/main" id="{E8EFF79E-5549-45FD-BED7-340DB513C04D}"/>
            </a:ext>
          </a:extLst>
        </xdr:cNvPr>
        <xdr:cNvSpPr/>
      </xdr:nvSpPr>
      <xdr:spPr>
        <a:xfrm>
          <a:off x="609600" y="1104900"/>
          <a:ext cx="2781300" cy="457200"/>
        </a:xfrm>
        <a:prstGeom prst="rect">
          <a:avLst/>
        </a:prstGeom>
        <a:ln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tx2">
                  <a:lumMod val="75000"/>
                  <a:lumOff val="25000"/>
                </a:schemeClr>
              </a:solidFill>
              <a:effectLst/>
            </a:rPr>
            <a:t>Cadastro</a:t>
          </a:r>
        </a:p>
      </xdr:txBody>
    </xdr:sp>
    <xdr:clientData/>
  </xdr:oneCellAnchor>
  <xdr:oneCellAnchor>
    <xdr:from>
      <xdr:col>11</xdr:col>
      <xdr:colOff>0</xdr:colOff>
      <xdr:row>8</xdr:row>
      <xdr:rowOff>19050</xdr:rowOff>
    </xdr:from>
    <xdr:ext cx="2790825" cy="457200"/>
    <xdr:sp macro="[0]!MenuVenda" textlink="">
      <xdr:nvSpPr>
        <xdr:cNvPr id="6" name="Retângulo 5">
          <a:extLst>
            <a:ext uri="{FF2B5EF4-FFF2-40B4-BE49-F238E27FC236}">
              <a16:creationId xmlns:a16="http://schemas.microsoft.com/office/drawing/2014/main" id="{2FE6FD9B-A05F-431A-B762-11E1720BC80A}"/>
            </a:ext>
          </a:extLst>
        </xdr:cNvPr>
        <xdr:cNvSpPr/>
      </xdr:nvSpPr>
      <xdr:spPr>
        <a:xfrm>
          <a:off x="609600" y="1685925"/>
          <a:ext cx="2790825" cy="45720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accent6">
                  <a:lumMod val="75000"/>
                </a:schemeClr>
              </a:solidFill>
              <a:effectLst/>
            </a:rPr>
            <a:t>Venda</a:t>
          </a:r>
        </a:p>
      </xdr:txBody>
    </xdr:sp>
    <xdr:clientData/>
  </xdr:oneCellAnchor>
  <xdr:oneCellAnchor>
    <xdr:from>
      <xdr:col>11</xdr:col>
      <xdr:colOff>0</xdr:colOff>
      <xdr:row>11</xdr:row>
      <xdr:rowOff>47625</xdr:rowOff>
    </xdr:from>
    <xdr:ext cx="2790825" cy="457200"/>
    <xdr:sp macro="[0]!MenuAtivacao" textlink="">
      <xdr:nvSpPr>
        <xdr:cNvPr id="7" name="Retângulo 6">
          <a:extLst>
            <a:ext uri="{FF2B5EF4-FFF2-40B4-BE49-F238E27FC236}">
              <a16:creationId xmlns:a16="http://schemas.microsoft.com/office/drawing/2014/main" id="{E203167D-20B3-442F-AE9C-E2B0AD3E5A40}"/>
            </a:ext>
          </a:extLst>
        </xdr:cNvPr>
        <xdr:cNvSpPr/>
      </xdr:nvSpPr>
      <xdr:spPr>
        <a:xfrm>
          <a:off x="609600" y="2286000"/>
          <a:ext cx="2790825" cy="457200"/>
        </a:xfrm>
        <a:prstGeom prst="rect">
          <a:avLst/>
        </a:prstGeom>
        <a:ln>
          <a:solidFill>
            <a:srgbClr val="BCB8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rgbClr val="ACA800"/>
              </a:solidFill>
              <a:effectLst/>
            </a:rPr>
            <a:t>Ativação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600075</xdr:colOff>
      <xdr:row>14</xdr:row>
      <xdr:rowOff>0</xdr:rowOff>
    </xdr:from>
    <xdr:ext cx="2671308" cy="468013"/>
    <xdr:sp macro="[0]!ConfirmacaoCadastro" textlink="">
      <xdr:nvSpPr>
        <xdr:cNvPr id="8" name="Retângulo 7">
          <a:extLst>
            <a:ext uri="{FF2B5EF4-FFF2-40B4-BE49-F238E27FC236}">
              <a16:creationId xmlns:a16="http://schemas.microsoft.com/office/drawing/2014/main" id="{D8228B88-1D31-4034-8FAA-C01C4CEE1CAD}"/>
            </a:ext>
          </a:extLst>
        </xdr:cNvPr>
        <xdr:cNvSpPr/>
      </xdr:nvSpPr>
      <xdr:spPr>
        <a:xfrm>
          <a:off x="600075" y="4267200"/>
          <a:ext cx="2671308" cy="468013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accent3"/>
              </a:solidFill>
              <a:effectLst/>
            </a:rPr>
            <a:t>Ir para confirmação</a:t>
          </a:r>
        </a:p>
      </xdr:txBody>
    </xdr:sp>
    <xdr:clientData/>
  </xdr:oneCellAnchor>
  <xdr:oneCellAnchor>
    <xdr:from>
      <xdr:col>2</xdr:col>
      <xdr:colOff>943403</xdr:colOff>
      <xdr:row>14</xdr:row>
      <xdr:rowOff>0</xdr:rowOff>
    </xdr:from>
    <xdr:ext cx="1071448" cy="468013"/>
    <xdr:sp macro="[0]!Limpar" textlink="">
      <xdr:nvSpPr>
        <xdr:cNvPr id="9" name="Retângulo 8">
          <a:extLst>
            <a:ext uri="{FF2B5EF4-FFF2-40B4-BE49-F238E27FC236}">
              <a16:creationId xmlns:a16="http://schemas.microsoft.com/office/drawing/2014/main" id="{1509E318-F80F-4AFD-BA2B-0CD4C148E211}"/>
            </a:ext>
          </a:extLst>
        </xdr:cNvPr>
        <xdr:cNvSpPr/>
      </xdr:nvSpPr>
      <xdr:spPr>
        <a:xfrm>
          <a:off x="3610403" y="4267200"/>
          <a:ext cx="1071448" cy="468013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tx2"/>
              </a:solidFill>
              <a:effectLst/>
            </a:rPr>
            <a:t>Limpar</a:t>
          </a:r>
        </a:p>
      </xdr:txBody>
    </xdr:sp>
    <xdr:clientData/>
  </xdr:oneCellAnchor>
  <xdr:oneCellAnchor>
    <xdr:from>
      <xdr:col>1</xdr:col>
      <xdr:colOff>0</xdr:colOff>
      <xdr:row>17</xdr:row>
      <xdr:rowOff>0</xdr:rowOff>
    </xdr:from>
    <xdr:ext cx="4067175" cy="457200"/>
    <xdr:sp macro="[0]!VoltarMenu" textlink="">
      <xdr:nvSpPr>
        <xdr:cNvPr id="2" name="Retângulo 1">
          <a:extLst>
            <a:ext uri="{FF2B5EF4-FFF2-40B4-BE49-F238E27FC236}">
              <a16:creationId xmlns:a16="http://schemas.microsoft.com/office/drawing/2014/main" id="{17C7B131-AE7A-404C-98B9-0B16995B827B}"/>
            </a:ext>
          </a:extLst>
        </xdr:cNvPr>
        <xdr:cNvSpPr/>
      </xdr:nvSpPr>
      <xdr:spPr>
        <a:xfrm>
          <a:off x="609600" y="5172075"/>
          <a:ext cx="4067175" cy="4572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ysClr val="windowText" lastClr="000000"/>
              </a:solidFill>
              <a:effectLst/>
            </a:rPr>
            <a:t>Voltar para o menu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582672</xdr:colOff>
      <xdr:row>14</xdr:row>
      <xdr:rowOff>9525</xdr:rowOff>
    </xdr:from>
    <xdr:ext cx="1450012" cy="468013"/>
    <xdr:sp macro="[0]!CadastrarFinal" textlink="">
      <xdr:nvSpPr>
        <xdr:cNvPr id="2" name="Retângulo 1">
          <a:extLst>
            <a:ext uri="{FF2B5EF4-FFF2-40B4-BE49-F238E27FC236}">
              <a16:creationId xmlns:a16="http://schemas.microsoft.com/office/drawing/2014/main" id="{EEDB25A2-5A1D-43C8-BBFD-5DAFF7B85BEA}"/>
            </a:ext>
          </a:extLst>
        </xdr:cNvPr>
        <xdr:cNvSpPr/>
      </xdr:nvSpPr>
      <xdr:spPr>
        <a:xfrm>
          <a:off x="582672" y="4276725"/>
          <a:ext cx="1450012" cy="468013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accent3"/>
              </a:solidFill>
              <a:effectLst/>
            </a:rPr>
            <a:t>Cadastrar</a:t>
          </a:r>
        </a:p>
      </xdr:txBody>
    </xdr:sp>
    <xdr:clientData/>
  </xdr:oneCellAnchor>
  <xdr:oneCellAnchor>
    <xdr:from>
      <xdr:col>2</xdr:col>
      <xdr:colOff>1117560</xdr:colOff>
      <xdr:row>14</xdr:row>
      <xdr:rowOff>9525</xdr:rowOff>
    </xdr:from>
    <xdr:ext cx="951735" cy="468013"/>
    <xdr:sp macro="[0]!Voltar" textlink="">
      <xdr:nvSpPr>
        <xdr:cNvPr id="3" name="Retângulo 2">
          <a:extLst>
            <a:ext uri="{FF2B5EF4-FFF2-40B4-BE49-F238E27FC236}">
              <a16:creationId xmlns:a16="http://schemas.microsoft.com/office/drawing/2014/main" id="{5A7EB909-86C5-473B-A9AB-6B178942890E}"/>
            </a:ext>
          </a:extLst>
        </xdr:cNvPr>
        <xdr:cNvSpPr/>
      </xdr:nvSpPr>
      <xdr:spPr>
        <a:xfrm>
          <a:off x="3775035" y="4467225"/>
          <a:ext cx="951735" cy="468013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tx2"/>
              </a:solidFill>
              <a:effectLst/>
            </a:rPr>
            <a:t>Voltar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</xdr:colOff>
      <xdr:row>13</xdr:row>
      <xdr:rowOff>28575</xdr:rowOff>
    </xdr:from>
    <xdr:ext cx="2671309" cy="468013"/>
    <xdr:sp macro="[0]!ConfirmarVenda" textlink="">
      <xdr:nvSpPr>
        <xdr:cNvPr id="2" name="Retângulo 1">
          <a:extLst>
            <a:ext uri="{FF2B5EF4-FFF2-40B4-BE49-F238E27FC236}">
              <a16:creationId xmlns:a16="http://schemas.microsoft.com/office/drawing/2014/main" id="{C70E5A13-E2CB-49EA-B476-55A7A954B1F4}"/>
            </a:ext>
          </a:extLst>
        </xdr:cNvPr>
        <xdr:cNvSpPr/>
      </xdr:nvSpPr>
      <xdr:spPr>
        <a:xfrm>
          <a:off x="609606" y="3819525"/>
          <a:ext cx="2671309" cy="468013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accent3"/>
              </a:solidFill>
              <a:effectLst/>
            </a:rPr>
            <a:t>Ir para confirmação</a:t>
          </a:r>
        </a:p>
      </xdr:txBody>
    </xdr:sp>
    <xdr:clientData/>
  </xdr:oneCellAnchor>
  <xdr:oneCellAnchor>
    <xdr:from>
      <xdr:col>2</xdr:col>
      <xdr:colOff>943403</xdr:colOff>
      <xdr:row>13</xdr:row>
      <xdr:rowOff>28575</xdr:rowOff>
    </xdr:from>
    <xdr:ext cx="1071448" cy="468013"/>
    <xdr:sp macro="[0]!LimparVenda" textlink="">
      <xdr:nvSpPr>
        <xdr:cNvPr id="3" name="Retângulo 2">
          <a:extLst>
            <a:ext uri="{FF2B5EF4-FFF2-40B4-BE49-F238E27FC236}">
              <a16:creationId xmlns:a16="http://schemas.microsoft.com/office/drawing/2014/main" id="{81790536-FCB9-49A7-8119-9D55D3DA7F00}"/>
            </a:ext>
          </a:extLst>
        </xdr:cNvPr>
        <xdr:cNvSpPr/>
      </xdr:nvSpPr>
      <xdr:spPr>
        <a:xfrm>
          <a:off x="3610403" y="3819525"/>
          <a:ext cx="1071448" cy="468013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tx2"/>
              </a:solidFill>
              <a:effectLst/>
            </a:rPr>
            <a:t>Limpar</a:t>
          </a:r>
          <a:endParaRPr lang="pt-BR" sz="2800" b="1" cap="none" spc="0">
            <a:ln/>
            <a:solidFill>
              <a:schemeClr val="tx2"/>
            </a:solidFill>
            <a:effectLst/>
          </a:endParaRPr>
        </a:p>
      </xdr:txBody>
    </xdr:sp>
    <xdr:clientData/>
  </xdr:oneCellAnchor>
  <xdr:oneCellAnchor>
    <xdr:from>
      <xdr:col>1</xdr:col>
      <xdr:colOff>0</xdr:colOff>
      <xdr:row>17</xdr:row>
      <xdr:rowOff>0</xdr:rowOff>
    </xdr:from>
    <xdr:ext cx="4067175" cy="457200"/>
    <xdr:sp macro="[0]!VoltarMenu" textlink="">
      <xdr:nvSpPr>
        <xdr:cNvPr id="4" name="Retângulo 3">
          <a:extLst>
            <a:ext uri="{FF2B5EF4-FFF2-40B4-BE49-F238E27FC236}">
              <a16:creationId xmlns:a16="http://schemas.microsoft.com/office/drawing/2014/main" id="{321CED20-AA07-4581-9220-FD72F877DFED}"/>
            </a:ext>
          </a:extLst>
        </xdr:cNvPr>
        <xdr:cNvSpPr/>
      </xdr:nvSpPr>
      <xdr:spPr>
        <a:xfrm>
          <a:off x="609600" y="4562475"/>
          <a:ext cx="4067175" cy="4572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ysClr val="windowText" lastClr="000000"/>
              </a:solidFill>
              <a:effectLst/>
            </a:rPr>
            <a:t>Voltar para o menu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11</xdr:row>
      <xdr:rowOff>314325</xdr:rowOff>
    </xdr:from>
    <xdr:ext cx="1314449" cy="457200"/>
    <xdr:sp macro="[0]!Vender" textlink="">
      <xdr:nvSpPr>
        <xdr:cNvPr id="2" name="Retângulo 1">
          <a:extLst>
            <a:ext uri="{FF2B5EF4-FFF2-40B4-BE49-F238E27FC236}">
              <a16:creationId xmlns:a16="http://schemas.microsoft.com/office/drawing/2014/main" id="{44BC331F-3E20-4CD8-8097-FFC5311F3840}"/>
            </a:ext>
          </a:extLst>
        </xdr:cNvPr>
        <xdr:cNvSpPr/>
      </xdr:nvSpPr>
      <xdr:spPr>
        <a:xfrm>
          <a:off x="609600" y="3257550"/>
          <a:ext cx="1314449" cy="457200"/>
        </a:xfrm>
        <a:prstGeom prst="rect">
          <a:avLst/>
        </a:prstGeom>
        <a:ln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tx2"/>
              </a:solidFill>
              <a:effectLst/>
            </a:rPr>
            <a:t>Vender</a:t>
          </a:r>
        </a:p>
        <a:p>
          <a:pPr algn="ctr"/>
          <a:endParaRPr lang="pt-BR" sz="2400" b="1" cap="none" spc="0">
            <a:ln/>
            <a:solidFill>
              <a:schemeClr val="tx2"/>
            </a:solidFill>
            <a:effectLst/>
          </a:endParaRPr>
        </a:p>
      </xdr:txBody>
    </xdr:sp>
    <xdr:clientData/>
  </xdr:oneCellAnchor>
  <xdr:oneCellAnchor>
    <xdr:from>
      <xdr:col>2</xdr:col>
      <xdr:colOff>742950</xdr:colOff>
      <xdr:row>11</xdr:row>
      <xdr:rowOff>314325</xdr:rowOff>
    </xdr:from>
    <xdr:ext cx="1314449" cy="457200"/>
    <xdr:sp macro="[0]!VoltarVenda" textlink="">
      <xdr:nvSpPr>
        <xdr:cNvPr id="3" name="Retângulo 2">
          <a:extLst>
            <a:ext uri="{FF2B5EF4-FFF2-40B4-BE49-F238E27FC236}">
              <a16:creationId xmlns:a16="http://schemas.microsoft.com/office/drawing/2014/main" id="{E5561E31-0187-429E-84FD-20134738B5F0}"/>
            </a:ext>
          </a:extLst>
        </xdr:cNvPr>
        <xdr:cNvSpPr/>
      </xdr:nvSpPr>
      <xdr:spPr>
        <a:xfrm>
          <a:off x="3400425" y="3733800"/>
          <a:ext cx="1314449" cy="457200"/>
        </a:xfrm>
        <a:prstGeom prst="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accent5">
                  <a:lumMod val="60000"/>
                  <a:lumOff val="40000"/>
                </a:schemeClr>
              </a:solidFill>
              <a:effectLst/>
            </a:rPr>
            <a:t>Voltar</a:t>
          </a:r>
        </a:p>
        <a:p>
          <a:pPr algn="ctr"/>
          <a:endParaRPr lang="pt-BR" sz="2400" b="1" cap="none" spc="0">
            <a:ln/>
            <a:solidFill>
              <a:schemeClr val="tx2"/>
            </a:solidFill>
            <a:effectLst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2378</xdr:colOff>
      <xdr:row>12</xdr:row>
      <xdr:rowOff>114300</xdr:rowOff>
    </xdr:from>
    <xdr:ext cx="2671309" cy="468013"/>
    <xdr:sp macro="[0]!ConfirmarAtivacao" textlink="">
      <xdr:nvSpPr>
        <xdr:cNvPr id="9" name="Retângulo 8">
          <a:extLst>
            <a:ext uri="{FF2B5EF4-FFF2-40B4-BE49-F238E27FC236}">
              <a16:creationId xmlns:a16="http://schemas.microsoft.com/office/drawing/2014/main" id="{EF362D21-4433-4B7D-916E-01A8B589320C}"/>
            </a:ext>
          </a:extLst>
        </xdr:cNvPr>
        <xdr:cNvSpPr/>
      </xdr:nvSpPr>
      <xdr:spPr>
        <a:xfrm>
          <a:off x="611978" y="3714750"/>
          <a:ext cx="2671309" cy="468013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accent3"/>
              </a:solidFill>
              <a:effectLst/>
            </a:rPr>
            <a:t>Ir para confirmação</a:t>
          </a:r>
        </a:p>
      </xdr:txBody>
    </xdr:sp>
    <xdr:clientData/>
  </xdr:oneCellAnchor>
  <xdr:oneCellAnchor>
    <xdr:from>
      <xdr:col>2</xdr:col>
      <xdr:colOff>1145801</xdr:colOff>
      <xdr:row>12</xdr:row>
      <xdr:rowOff>114300</xdr:rowOff>
    </xdr:from>
    <xdr:ext cx="1071448" cy="468013"/>
    <xdr:sp macro="[0]!Módulo3.LimparAtivacao" textlink="">
      <xdr:nvSpPr>
        <xdr:cNvPr id="10" name="Retângulo 9">
          <a:extLst>
            <a:ext uri="{FF2B5EF4-FFF2-40B4-BE49-F238E27FC236}">
              <a16:creationId xmlns:a16="http://schemas.microsoft.com/office/drawing/2014/main" id="{889AC9EB-3793-4E74-9D0C-DD5CEE036BE2}"/>
            </a:ext>
          </a:extLst>
        </xdr:cNvPr>
        <xdr:cNvSpPr/>
      </xdr:nvSpPr>
      <xdr:spPr>
        <a:xfrm>
          <a:off x="3803276" y="3724275"/>
          <a:ext cx="1071448" cy="468013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tx2"/>
              </a:solidFill>
              <a:effectLst/>
            </a:rPr>
            <a:t>Limpar</a:t>
          </a:r>
          <a:endParaRPr lang="pt-BR" sz="2800" b="1" cap="none" spc="0">
            <a:ln/>
            <a:solidFill>
              <a:schemeClr val="tx2"/>
            </a:solidFill>
            <a:effectLst/>
          </a:endParaRPr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4286250" cy="457200"/>
    <xdr:sp macro="[0]!VoltarMenu" textlink="">
      <xdr:nvSpPr>
        <xdr:cNvPr id="2" name="Retângulo 1">
          <a:extLst>
            <a:ext uri="{FF2B5EF4-FFF2-40B4-BE49-F238E27FC236}">
              <a16:creationId xmlns:a16="http://schemas.microsoft.com/office/drawing/2014/main" id="{1C423B1E-040F-476A-89CB-68ADC0686FE7}"/>
            </a:ext>
          </a:extLst>
        </xdr:cNvPr>
        <xdr:cNvSpPr/>
      </xdr:nvSpPr>
      <xdr:spPr>
        <a:xfrm>
          <a:off x="609600" y="4371975"/>
          <a:ext cx="4286250" cy="4572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ysClr val="windowText" lastClr="000000"/>
              </a:solidFill>
              <a:effectLst/>
            </a:rPr>
            <a:t>Voltar para o menu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11</xdr:row>
      <xdr:rowOff>314325</xdr:rowOff>
    </xdr:from>
    <xdr:ext cx="1314449" cy="457200"/>
    <xdr:sp macro="[0]!Ativar" textlink="">
      <xdr:nvSpPr>
        <xdr:cNvPr id="2" name="Retângulo 1">
          <a:extLst>
            <a:ext uri="{FF2B5EF4-FFF2-40B4-BE49-F238E27FC236}">
              <a16:creationId xmlns:a16="http://schemas.microsoft.com/office/drawing/2014/main" id="{5E494211-18F1-497E-9C67-61ECFA457C67}"/>
            </a:ext>
          </a:extLst>
        </xdr:cNvPr>
        <xdr:cNvSpPr/>
      </xdr:nvSpPr>
      <xdr:spPr>
        <a:xfrm>
          <a:off x="609600" y="3257550"/>
          <a:ext cx="1314449" cy="457200"/>
        </a:xfrm>
        <a:prstGeom prst="rect">
          <a:avLst/>
        </a:prstGeom>
        <a:ln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tx2"/>
              </a:solidFill>
              <a:effectLst/>
            </a:rPr>
            <a:t>Ativar</a:t>
          </a:r>
        </a:p>
      </xdr:txBody>
    </xdr:sp>
    <xdr:clientData/>
  </xdr:oneCellAnchor>
  <xdr:oneCellAnchor>
    <xdr:from>
      <xdr:col>2</xdr:col>
      <xdr:colOff>895350</xdr:colOff>
      <xdr:row>11</xdr:row>
      <xdr:rowOff>314325</xdr:rowOff>
    </xdr:from>
    <xdr:ext cx="1314449" cy="457200"/>
    <xdr:sp macro="[0]!VoltarAtivar" textlink="">
      <xdr:nvSpPr>
        <xdr:cNvPr id="3" name="Retângulo 2">
          <a:extLst>
            <a:ext uri="{FF2B5EF4-FFF2-40B4-BE49-F238E27FC236}">
              <a16:creationId xmlns:a16="http://schemas.microsoft.com/office/drawing/2014/main" id="{B1A6D025-7944-4895-A09C-AE95B7FE793E}"/>
            </a:ext>
          </a:extLst>
        </xdr:cNvPr>
        <xdr:cNvSpPr/>
      </xdr:nvSpPr>
      <xdr:spPr>
        <a:xfrm>
          <a:off x="3552825" y="3733800"/>
          <a:ext cx="1314449" cy="457200"/>
        </a:xfrm>
        <a:prstGeom prst="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accent5">
                  <a:lumMod val="60000"/>
                  <a:lumOff val="40000"/>
                </a:schemeClr>
              </a:solidFill>
              <a:effectLst/>
            </a:rPr>
            <a:t>Voltar</a:t>
          </a:r>
        </a:p>
        <a:p>
          <a:pPr algn="ctr"/>
          <a:endParaRPr lang="pt-BR" sz="2400" b="1" cap="none" spc="0">
            <a:ln/>
            <a:solidFill>
              <a:schemeClr val="tx2"/>
            </a:solidFill>
            <a:effectLst/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a63e13e91384143c/Trabalho/Budha/PrototipoVoucherCopia.xlsm" TargetMode="External"/><Relationship Id="rId1" Type="http://schemas.openxmlformats.org/officeDocument/2006/relationships/externalLinkPath" Target="/a63e13e91384143c/Trabalho/Budha/PrototipoVoucherCopi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dastro"/>
      <sheetName val="Confirmação"/>
      <sheetName val="Venda"/>
      <sheetName val="Confirmação de Venda"/>
      <sheetName val="Ativação"/>
      <sheetName val="Confirmação de Ativação"/>
      <sheetName val="Alteração"/>
      <sheetName val="BancoCadastros"/>
      <sheetName val="ListasDeDados"/>
      <sheetName val="PrototipoVoucherCopi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C0A4193-5E88-439F-B662-65009C6DE5CB}" name="Tabela6" displayName="Tabela6" ref="B3:T4" totalsRowShown="0" headerRowDxfId="19" dataDxfId="18" tableBorderDxfId="17">
  <autoFilter ref="B3:T4" xr:uid="{1C0A4193-5E88-439F-B662-65009C6DE5CB}"/>
  <tableColumns count="19">
    <tableColumn id="1" xr3:uid="{6B12C19E-674A-41BB-A61B-69B60BFDCC29}" name="ProcvID" dataDxfId="16">
      <calculatedColumnFormula>Tabela6[[#This Row],[ID Voucher]]</calculatedColumnFormula>
    </tableColumn>
    <tableColumn id="15" xr3:uid="{34511310-23E6-4616-943C-4607B3B5D76B}" name="Massagem" dataDxfId="15"/>
    <tableColumn id="14" xr3:uid="{BF177430-EDFB-45B9-A49E-BB9F2625B4FD}" name="Telefone Ativação" dataDxfId="14"/>
    <tableColumn id="17" xr3:uid="{737880F1-225D-4466-AFFE-D48D1F08A2D7}" name="Cliente Ativação" dataDxfId="13"/>
    <tableColumn id="21" xr3:uid="{25201483-3CDB-4D54-96DC-21431CFF5749}" name="Data Ativação" dataDxfId="12"/>
    <tableColumn id="22" xr3:uid="{5D152AC4-767A-4A44-85DA-90F67270F2B2}" name="Atendente Ativação" dataDxfId="11"/>
    <tableColumn id="19" xr3:uid="{7E019126-DFDF-4BD0-B420-DA928885EA69}" name="Telefone Venda" dataDxfId="10"/>
    <tableColumn id="2" xr3:uid="{0FF14BB9-C30E-4479-BD07-7BABB497092E}" name="Cliente Venda" dataDxfId="9"/>
    <tableColumn id="18" xr3:uid="{FE774A5C-9BE8-4BBC-9C0C-5CFD685BDF8C}" name="Data Venda"/>
    <tableColumn id="20" xr3:uid="{31CD200F-F154-4DF0-8AEE-AF5592661587}" name="Atendente Venda"/>
    <tableColumn id="3" xr3:uid="{828F7443-3BDD-4CA2-A5A8-BD0A088DD859}" name="Data Cadastro" dataDxfId="8"/>
    <tableColumn id="4" xr3:uid="{2C849468-3527-4019-8DFB-76E595BC6897}" name="Atendente Cadastro" dataDxfId="7"/>
    <tableColumn id="5" xr3:uid="{34ADDBB6-79DC-4E92-A575-955CDA94396F}" name="Tipo de Voucher" dataDxfId="6"/>
    <tableColumn id="6" xr3:uid="{13DFC1B1-E995-491A-9B7B-4525E5CDB00D}" name="Valor" dataDxfId="5" dataCellStyle="Moeda"/>
    <tableColumn id="7" xr3:uid="{E0A5FAFE-774E-408A-9AD8-46BD70E9FC07}" name="Unidade" dataDxfId="4"/>
    <tableColumn id="8" xr3:uid="{EEDB05B3-8CD3-42BA-B729-F7DFF45FCEA8}" name="ID Voucher" dataDxfId="3"/>
    <tableColumn id="10" xr3:uid="{6F8E3C27-63F7-40A9-A538-3E280E97AA33}" name="Status" dataDxfId="2"/>
    <tableColumn id="11" xr3:uid="{FC5D3F46-128C-4CAF-8933-7DE55E80BE3E}" name="VDP ID V" dataDxfId="1">
      <calculatedColumnFormula>IF(Tabela6[[#This Row],[Status]]="Cadastro",Tabela6[[#This Row],[ID Voucher]],"")</calculatedColumnFormula>
    </tableColumn>
    <tableColumn id="13" xr3:uid="{CB63C202-6AC8-4D0E-BFD8-36030D5469B4}" name="VDP ID A" dataDxfId="0">
      <calculatedColumnFormula>IF(Tabela6[[#This Row],[Status]]="Vendido",Tabela6[[#This Row],[ID Voucher]],"")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EC784-5E5B-46E7-B0A5-FF3D658CEA79}">
  <sheetPr codeName="Planilha4"/>
  <dimension ref="L4:O4"/>
  <sheetViews>
    <sheetView showGridLines="0" zoomScale="110" zoomScaleNormal="110" workbookViewId="0">
      <selection activeCell="I16" sqref="I16"/>
    </sheetView>
  </sheetViews>
  <sheetFormatPr defaultRowHeight="15" x14ac:dyDescent="0.25"/>
  <cols>
    <col min="15" max="15" width="14" customWidth="1"/>
  </cols>
  <sheetData>
    <row r="4" spans="12:15" ht="26.25" x14ac:dyDescent="0.4">
      <c r="L4" s="39" t="s">
        <v>53</v>
      </c>
      <c r="M4" s="40"/>
      <c r="N4" s="40"/>
      <c r="O4" s="41"/>
    </row>
  </sheetData>
  <sheetProtection algorithmName="SHA-512" hashValue="IJZLqgdR6z7s5i1IMlQvHcu8lrJv3AsUn9QazulFO0sNPYoiQwrOBH6M4dVJrziZpCuha14NXtR/Jw+fFZaZNw==" saltValue="6tEC3zPgympKqUrcZqkZNQ==" spinCount="100000" sheet="1" objects="1" scenarios="1"/>
  <mergeCells count="1">
    <mergeCell ref="L4:O4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675AE-3F4D-4AB8-B834-9EEDEF67911B}">
  <sheetPr codeName="Planilha1">
    <tabColor theme="4" tint="0.79998168889431442"/>
  </sheetPr>
  <dimension ref="B2:C15"/>
  <sheetViews>
    <sheetView showGridLines="0" workbookViewId="0">
      <selection activeCell="F20" sqref="F20"/>
    </sheetView>
  </sheetViews>
  <sheetFormatPr defaultRowHeight="15" x14ac:dyDescent="0.25"/>
  <cols>
    <col min="2" max="3" width="30.7109375" customWidth="1"/>
    <col min="4" max="4" width="26.42578125" customWidth="1"/>
  </cols>
  <sheetData>
    <row r="2" spans="2:3" ht="15.75" customHeight="1" x14ac:dyDescent="0.25"/>
    <row r="3" spans="2:3" ht="30" customHeight="1" thickBot="1" x14ac:dyDescent="0.5">
      <c r="B3" s="42" t="s">
        <v>27</v>
      </c>
      <c r="C3" s="43"/>
    </row>
    <row r="4" spans="2:3" ht="26.25" x14ac:dyDescent="0.4">
      <c r="B4" s="44" t="s">
        <v>6</v>
      </c>
      <c r="C4" s="45"/>
    </row>
    <row r="5" spans="2:3" ht="26.25" x14ac:dyDescent="0.4">
      <c r="B5" s="26" t="s">
        <v>0</v>
      </c>
      <c r="C5" s="3">
        <f ca="1">NOW()</f>
        <v>45585.683798379629</v>
      </c>
    </row>
    <row r="6" spans="2:3" ht="26.25" x14ac:dyDescent="0.4">
      <c r="B6" s="26" t="s">
        <v>21</v>
      </c>
      <c r="C6" s="2"/>
    </row>
    <row r="7" spans="2:3" ht="26.25" x14ac:dyDescent="0.4">
      <c r="B7" s="26" t="s">
        <v>5</v>
      </c>
      <c r="C7" s="2"/>
    </row>
    <row r="8" spans="2:3" ht="26.25" x14ac:dyDescent="0.4">
      <c r="B8" s="26" t="s">
        <v>2</v>
      </c>
      <c r="C8" s="22"/>
    </row>
    <row r="9" spans="2:3" ht="26.25" x14ac:dyDescent="0.4">
      <c r="B9" s="26" t="s">
        <v>4</v>
      </c>
      <c r="C9" s="27" t="s">
        <v>27</v>
      </c>
    </row>
    <row r="10" spans="2:3" ht="26.25" x14ac:dyDescent="0.4">
      <c r="B10" s="26" t="s">
        <v>3</v>
      </c>
      <c r="C10" s="2"/>
    </row>
    <row r="11" spans="2:3" ht="27" thickBot="1" x14ac:dyDescent="0.45">
      <c r="B11" s="29" t="s">
        <v>16</v>
      </c>
      <c r="C11" s="30" t="s">
        <v>20</v>
      </c>
    </row>
    <row r="12" spans="2:3" ht="27" thickTop="1" x14ac:dyDescent="0.4">
      <c r="B12" s="31" t="s">
        <v>7</v>
      </c>
      <c r="C12" s="32" t="str" cm="1">
        <f t="array" ref="C12">INDEX(Tabela6[ID Voucher],COUNTA(Tabela6[ID Voucher]))</f>
        <v>ID Voucher</v>
      </c>
    </row>
    <row r="13" spans="2:3" ht="26.25" x14ac:dyDescent="0.4">
      <c r="B13" s="33"/>
      <c r="C13" s="33"/>
    </row>
    <row r="14" spans="2:3" ht="26.25" x14ac:dyDescent="0.4">
      <c r="B14" s="33"/>
      <c r="C14" s="33"/>
    </row>
    <row r="15" spans="2:3" ht="26.25" x14ac:dyDescent="0.4">
      <c r="B15" s="33"/>
      <c r="C15" s="33"/>
    </row>
  </sheetData>
  <sheetProtection algorithmName="SHA-512" hashValue="Hlgvwle+UTxOoJPIAUDpBwgkS7igMhHsEC+KphIU1lw37GgP6dWmisOfq1giFzxOMuj4J15HpZzwD8a4QuaKxQ==" saltValue="s6sdf9lu7b8TN4JhLNtRQQ==" spinCount="100000" sheet="1" objects="1" scenarios="1"/>
  <mergeCells count="2">
    <mergeCell ref="B3:C3"/>
    <mergeCell ref="B4:C4"/>
  </mergeCells>
  <dataValidations count="1">
    <dataValidation type="decimal" allowBlank="1" showInputMessage="1" showErrorMessage="1" errorTitle="Entrada Inválida" error="Por favor, digite um número válido." sqref="C8" xr:uid="{8FFFF37D-65B9-4B7F-AC7F-331459CB1577}">
      <formula1>0</formula1>
      <formula2>1500</formula2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25E4939-7D0D-4060-B1CF-EF02C32E8F03}">
          <x14:formula1>
            <xm:f>ListasDeDados!$B$4:$B$7</xm:f>
          </x14:formula1>
          <xm:sqref>C6</xm:sqref>
        </x14:dataValidation>
        <x14:dataValidation type="list" allowBlank="1" showInputMessage="1" showErrorMessage="1" xr:uid="{CB9B14E3-29D7-4E83-AABA-E57D11AE4EF7}">
          <x14:formula1>
            <xm:f>ListasDeDados!$D$4:$D$7</xm:f>
          </x14:formula1>
          <xm:sqref>C7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4591C-3B7C-450F-AFC8-A74087ACE139}">
  <sheetPr codeName="Planilha5">
    <tabColor theme="9" tint="0.79998168889431442"/>
  </sheetPr>
  <dimension ref="B2:C15"/>
  <sheetViews>
    <sheetView showGridLines="0" workbookViewId="0">
      <selection activeCell="B4" sqref="B4:C4"/>
    </sheetView>
  </sheetViews>
  <sheetFormatPr defaultRowHeight="15" x14ac:dyDescent="0.25"/>
  <cols>
    <col min="2" max="3" width="30.7109375" customWidth="1"/>
    <col min="4" max="4" width="26.42578125" customWidth="1"/>
  </cols>
  <sheetData>
    <row r="2" spans="2:3" ht="15.75" customHeight="1" x14ac:dyDescent="0.25"/>
    <row r="3" spans="2:3" ht="30" customHeight="1" thickBot="1" x14ac:dyDescent="0.5">
      <c r="B3" s="46" t="s">
        <v>8</v>
      </c>
      <c r="C3" s="47"/>
    </row>
    <row r="4" spans="2:3" ht="26.25" x14ac:dyDescent="0.4">
      <c r="B4" s="48" t="s">
        <v>6</v>
      </c>
      <c r="C4" s="49"/>
    </row>
    <row r="5" spans="2:3" ht="26.25" x14ac:dyDescent="0.4">
      <c r="B5" s="26" t="s">
        <v>0</v>
      </c>
      <c r="C5" s="3">
        <f ca="1">NOW()</f>
        <v>45585.683798379629</v>
      </c>
    </row>
    <row r="6" spans="2:3" ht="26.25" x14ac:dyDescent="0.4">
      <c r="B6" s="26" t="s">
        <v>21</v>
      </c>
      <c r="C6" s="27">
        <f>Cadastro!C6</f>
        <v>0</v>
      </c>
    </row>
    <row r="7" spans="2:3" ht="26.25" x14ac:dyDescent="0.4">
      <c r="B7" s="26" t="s">
        <v>5</v>
      </c>
      <c r="C7" s="27">
        <f>Cadastro!C7</f>
        <v>0</v>
      </c>
    </row>
    <row r="8" spans="2:3" ht="26.25" x14ac:dyDescent="0.4">
      <c r="B8" s="26" t="s">
        <v>2</v>
      </c>
      <c r="C8" s="28">
        <f>Cadastro!C8</f>
        <v>0</v>
      </c>
    </row>
    <row r="9" spans="2:3" ht="26.25" x14ac:dyDescent="0.4">
      <c r="B9" s="26" t="s">
        <v>4</v>
      </c>
      <c r="C9" s="27" t="str">
        <f>Cadastro!C9</f>
        <v>Ibirapuera</v>
      </c>
    </row>
    <row r="10" spans="2:3" ht="26.25" x14ac:dyDescent="0.4">
      <c r="B10" s="26" t="s">
        <v>3</v>
      </c>
      <c r="C10" s="27">
        <f>Cadastro!C10</f>
        <v>0</v>
      </c>
    </row>
    <row r="11" spans="2:3" ht="27" thickBot="1" x14ac:dyDescent="0.45">
      <c r="B11" s="29" t="s">
        <v>16</v>
      </c>
      <c r="C11" s="30" t="str">
        <f>Cadastro!C11</f>
        <v>Cadastro</v>
      </c>
    </row>
    <row r="12" spans="2:3" ht="27" thickTop="1" x14ac:dyDescent="0.4">
      <c r="B12" s="31" t="s">
        <v>7</v>
      </c>
      <c r="C12" s="32" t="str">
        <f>Cadastro!C12</f>
        <v>ID Voucher</v>
      </c>
    </row>
    <row r="13" spans="2:3" ht="26.25" x14ac:dyDescent="0.4">
      <c r="B13" s="33"/>
      <c r="C13" s="33"/>
    </row>
    <row r="14" spans="2:3" ht="26.25" x14ac:dyDescent="0.4">
      <c r="B14" s="33"/>
      <c r="C14" s="33"/>
    </row>
    <row r="15" spans="2:3" ht="26.25" x14ac:dyDescent="0.4">
      <c r="B15" s="33"/>
      <c r="C15" s="33"/>
    </row>
  </sheetData>
  <sheetProtection algorithmName="SHA-512" hashValue="+X+uWn3q+mAeIeFFCh9QYlxHbBf4XQRiZe4jVV66WMQR5Iwn1kLpW/EG9BH7Skpj1FqUrRDa2nHRO0V6WedCGQ==" saltValue="jn12cGLttgF6+QCt4BgHSQ==" spinCount="100000" sheet="1" objects="1" scenarios="1"/>
  <mergeCells count="2">
    <mergeCell ref="B3:C3"/>
    <mergeCell ref="B4:C4"/>
  </mergeCells>
  <dataValidations count="1">
    <dataValidation errorStyle="information" allowBlank="1" showInputMessage="1" showErrorMessage="1" errorTitle="Entrada Inválida" error="Por favor, digite um número." sqref="C8" xr:uid="{0C6496D1-9232-496C-8CF6-F492A571EF3E}"/>
  </dataValidation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44977-7CFC-4568-B1EF-CEC020F32D63}">
  <sheetPr codeName="Planilha2">
    <tabColor theme="9" tint="0.39997558519241921"/>
  </sheetPr>
  <dimension ref="B3:C11"/>
  <sheetViews>
    <sheetView showGridLines="0" workbookViewId="0">
      <selection activeCell="F22" sqref="F22"/>
    </sheetView>
  </sheetViews>
  <sheetFormatPr defaultRowHeight="15" x14ac:dyDescent="0.25"/>
  <cols>
    <col min="2" max="3" width="30.7109375" customWidth="1"/>
  </cols>
  <sheetData>
    <row r="3" spans="2:3" ht="29.25" thickBot="1" x14ac:dyDescent="0.5">
      <c r="B3" s="50" t="s">
        <v>27</v>
      </c>
      <c r="C3" s="51"/>
    </row>
    <row r="4" spans="2:3" ht="26.25" x14ac:dyDescent="0.4">
      <c r="B4" s="52" t="s">
        <v>24</v>
      </c>
      <c r="C4" s="53"/>
    </row>
    <row r="5" spans="2:3" ht="26.25" x14ac:dyDescent="0.4">
      <c r="B5" s="26" t="s">
        <v>0</v>
      </c>
      <c r="C5" s="3">
        <f ca="1">NOW()</f>
        <v>45585.683798379629</v>
      </c>
    </row>
    <row r="6" spans="2:3" ht="26.25" x14ac:dyDescent="0.25">
      <c r="B6" s="19" t="s">
        <v>14</v>
      </c>
      <c r="C6" s="21"/>
    </row>
    <row r="7" spans="2:3" ht="26.25" customHeight="1" x14ac:dyDescent="0.25">
      <c r="B7" s="19" t="s">
        <v>22</v>
      </c>
      <c r="C7" s="21"/>
    </row>
    <row r="8" spans="2:3" ht="26.25" customHeight="1" x14ac:dyDescent="0.25">
      <c r="B8" s="19" t="s">
        <v>2</v>
      </c>
      <c r="C8" s="25"/>
    </row>
    <row r="9" spans="2:3" ht="26.25" customHeight="1" x14ac:dyDescent="0.25">
      <c r="B9" s="19" t="s">
        <v>1</v>
      </c>
      <c r="C9" s="21"/>
    </row>
    <row r="10" spans="2:3" ht="26.25" customHeight="1" x14ac:dyDescent="0.25">
      <c r="B10" s="19" t="s">
        <v>25</v>
      </c>
      <c r="C10" s="21"/>
    </row>
    <row r="11" spans="2:3" ht="26.25" customHeight="1" x14ac:dyDescent="0.25">
      <c r="B11" s="23" t="s">
        <v>16</v>
      </c>
      <c r="C11" s="24" t="s">
        <v>46</v>
      </c>
    </row>
  </sheetData>
  <sheetProtection algorithmName="SHA-512" hashValue="czfHG+B6CY/XyUgHzO58HPXmgUm9IJXZDRLkIphnipJcfcwIhhiahhfDmZP0WlgF5qdDxQ56logagTfHzQo6TQ==" saltValue="jE/L2eB+7SvVrFlEVnvlXQ==" spinCount="100000" sheet="1" objects="1" scenarios="1"/>
  <mergeCells count="2">
    <mergeCell ref="B3:C3"/>
    <mergeCell ref="B4:C4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655F240-323B-4A50-A517-771A5B6797AD}">
          <x14:formula1>
            <xm:f>ListasDeDados!$B$4:$B$7</xm:f>
          </x14:formula1>
          <xm:sqref>C7</xm:sqref>
        </x14:dataValidation>
        <x14:dataValidation type="list" allowBlank="1" showInputMessage="1" showErrorMessage="1" xr:uid="{8106EFDB-D0A4-428D-B415-88204C77C5D5}">
          <x14:formula1>
            <xm:f>OFFSET(BancoCadastros!S:S,4,,COUNTA(BancoCadastros!S:S)-2)</xm:f>
          </x14:formula1>
          <xm:sqref>C6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7696C-2BC2-4122-A0CA-6FF1FB6D25AF}">
  <sheetPr codeName="Planilha8">
    <tabColor theme="3" tint="0.499984740745262"/>
  </sheetPr>
  <dimension ref="B3:H12"/>
  <sheetViews>
    <sheetView showGridLines="0" tabSelected="1" workbookViewId="0">
      <selection activeCell="B4" sqref="B4:C4"/>
    </sheetView>
  </sheetViews>
  <sheetFormatPr defaultRowHeight="15" x14ac:dyDescent="0.25"/>
  <cols>
    <col min="2" max="3" width="30.7109375" customWidth="1"/>
    <col min="6" max="6" width="16.28515625" bestFit="1" customWidth="1"/>
    <col min="7" max="7" width="17.28515625" bestFit="1" customWidth="1"/>
  </cols>
  <sheetData>
    <row r="3" spans="2:8" ht="29.25" thickBot="1" x14ac:dyDescent="0.5">
      <c r="B3" s="54" t="s">
        <v>27</v>
      </c>
      <c r="C3" s="55"/>
    </row>
    <row r="4" spans="2:8" ht="26.25" x14ac:dyDescent="0.4">
      <c r="B4" s="56" t="s">
        <v>24</v>
      </c>
      <c r="C4" s="57"/>
      <c r="H4" s="15"/>
    </row>
    <row r="5" spans="2:8" ht="26.25" x14ac:dyDescent="0.25">
      <c r="B5" s="19" t="s">
        <v>0</v>
      </c>
      <c r="C5" s="3">
        <f ca="1">NOW()</f>
        <v>45585.683798379629</v>
      </c>
      <c r="F5" s="1"/>
      <c r="G5" s="1"/>
      <c r="H5" s="1"/>
    </row>
    <row r="6" spans="2:8" ht="26.25" x14ac:dyDescent="0.25">
      <c r="B6" s="19" t="s">
        <v>14</v>
      </c>
      <c r="C6" s="20">
        <f>Venda!C6</f>
        <v>0</v>
      </c>
    </row>
    <row r="7" spans="2:8" ht="26.25" x14ac:dyDescent="0.25">
      <c r="B7" s="19" t="s">
        <v>22</v>
      </c>
      <c r="C7" s="20">
        <f>Venda!C7</f>
        <v>0</v>
      </c>
    </row>
    <row r="8" spans="2:8" ht="26.25" x14ac:dyDescent="0.25">
      <c r="B8" s="19" t="s">
        <v>2</v>
      </c>
      <c r="C8" s="20">
        <f>Venda!C8</f>
        <v>0</v>
      </c>
    </row>
    <row r="9" spans="2:8" ht="26.25" x14ac:dyDescent="0.25">
      <c r="B9" s="19" t="s">
        <v>1</v>
      </c>
      <c r="C9" s="20">
        <f>Venda!C9</f>
        <v>0</v>
      </c>
    </row>
    <row r="10" spans="2:8" ht="26.25" x14ac:dyDescent="0.25">
      <c r="B10" s="19" t="s">
        <v>25</v>
      </c>
      <c r="C10" s="20">
        <f>Venda!C10</f>
        <v>0</v>
      </c>
    </row>
    <row r="11" spans="2:8" ht="26.25" customHeight="1" x14ac:dyDescent="0.25">
      <c r="B11" s="23" t="s">
        <v>16</v>
      </c>
      <c r="C11" s="24" t="s">
        <v>46</v>
      </c>
    </row>
    <row r="12" spans="2:8" ht="26.25" customHeight="1" x14ac:dyDescent="0.25"/>
  </sheetData>
  <sheetProtection algorithmName="SHA-512" hashValue="hkoJnh22Brl2gjO4b+3sam+Tr7g3eqGSUUBQJ3u/rf6LNx7/HV+asQB6JmEl9T2m3VGVVsEOZ6Wco0vbg2kHHw==" saltValue="nw9T2pv12xfQ7uQdtPZ92w==" spinCount="100000" sheet="1" objects="1" scenarios="1"/>
  <mergeCells count="2">
    <mergeCell ref="B3:C3"/>
    <mergeCell ref="B4:C4"/>
  </mergeCells>
  <pageMargins left="0.511811024" right="0.511811024" top="0.78740157499999996" bottom="0.78740157499999996" header="0.31496062000000002" footer="0.31496062000000002"/>
  <ignoredErrors>
    <ignoredError sqref="C6" unlockedFormula="1"/>
  </ignoredErrors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E306F-2642-4835-ADAE-57A3A083708C}">
  <sheetPr codeName="Planilha9">
    <tabColor rgb="FFFFFFB9"/>
  </sheetPr>
  <dimension ref="B3:C11"/>
  <sheetViews>
    <sheetView showGridLines="0" workbookViewId="0">
      <selection activeCell="B4" sqref="B4:C4"/>
    </sheetView>
  </sheetViews>
  <sheetFormatPr defaultRowHeight="15" x14ac:dyDescent="0.25"/>
  <cols>
    <col min="2" max="2" width="30.7109375" customWidth="1"/>
    <col min="3" max="3" width="33.140625" bestFit="1" customWidth="1"/>
  </cols>
  <sheetData>
    <row r="3" spans="2:3" ht="29.25" thickBot="1" x14ac:dyDescent="0.5">
      <c r="B3" s="58" t="s">
        <v>27</v>
      </c>
      <c r="C3" s="59"/>
    </row>
    <row r="4" spans="2:3" ht="26.25" x14ac:dyDescent="0.4">
      <c r="B4" s="60" t="s">
        <v>226</v>
      </c>
      <c r="C4" s="61"/>
    </row>
    <row r="5" spans="2:3" ht="26.25" x14ac:dyDescent="0.4">
      <c r="B5" s="26" t="s">
        <v>0</v>
      </c>
      <c r="C5" s="3">
        <f ca="1">NOW()</f>
        <v>45585.683798379629</v>
      </c>
    </row>
    <row r="6" spans="2:3" ht="26.25" x14ac:dyDescent="0.25">
      <c r="B6" s="19" t="s">
        <v>14</v>
      </c>
      <c r="C6" s="21"/>
    </row>
    <row r="7" spans="2:3" ht="26.25" customHeight="1" x14ac:dyDescent="0.25">
      <c r="B7" s="19" t="s">
        <v>22</v>
      </c>
      <c r="C7" s="21"/>
    </row>
    <row r="8" spans="2:3" ht="26.25" customHeight="1" x14ac:dyDescent="0.25">
      <c r="B8" s="19" t="s">
        <v>1</v>
      </c>
      <c r="C8" s="21"/>
    </row>
    <row r="9" spans="2:3" ht="26.25" customHeight="1" x14ac:dyDescent="0.25">
      <c r="B9" s="19" t="s">
        <v>25</v>
      </c>
      <c r="C9" s="21"/>
    </row>
    <row r="10" spans="2:3" ht="26.25" customHeight="1" x14ac:dyDescent="0.25">
      <c r="B10" s="19" t="s">
        <v>64</v>
      </c>
      <c r="C10" s="21"/>
    </row>
    <row r="11" spans="2:3" ht="26.25" customHeight="1" x14ac:dyDescent="0.25">
      <c r="B11" s="23" t="s">
        <v>16</v>
      </c>
      <c r="C11" s="24" t="s">
        <v>19</v>
      </c>
    </row>
  </sheetData>
  <sheetProtection algorithmName="SHA-512" hashValue="I21GmcggnzUyuPzTjXDLUSC5DZyTRnBnEyzAABf9FYx5LFFxj2EmgUBwav/5tD7DhjE8UccIRwOdUz9jVuYH9g==" saltValue="QjARXZZ5yGpUFaNNvAUX2g==" spinCount="100000" sheet="1" objects="1" scenarios="1"/>
  <mergeCells count="2">
    <mergeCell ref="B3:C3"/>
    <mergeCell ref="B4:C4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3B1FB94-CF29-4A6F-94F6-4DBBEF294328}">
          <x14:formula1>
            <xm:f>ListasDeDados!$B$4:$B$7</xm:f>
          </x14:formula1>
          <xm:sqref>C7</xm:sqref>
        </x14:dataValidation>
        <x14:dataValidation type="list" allowBlank="1" showInputMessage="1" showErrorMessage="1" xr:uid="{F61123CB-4F29-4321-9976-99044981ACF9}">
          <x14:formula1>
            <xm:f>ListasDeDados!$F$4:$F$163</xm:f>
          </x14:formula1>
          <xm:sqref>C10</xm:sqref>
        </x14:dataValidation>
        <x14:dataValidation type="list" allowBlank="1" showInputMessage="1" showErrorMessage="1" xr:uid="{B7C6EAC7-41EF-4629-B9DD-DDB724BDF6EE}">
          <x14:formula1>
            <xm:f>OFFSET(BancoCadastros!T:T,4,,COUNTA(BancoCadastros!T:T)-2)</xm:f>
          </x14:formula1>
          <xm:sqref>C6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00557-155B-4925-B40C-1BA47008F385}">
  <sheetPr codeName="Planilha10">
    <tabColor rgb="FFE6C5F3"/>
  </sheetPr>
  <dimension ref="B3:H12"/>
  <sheetViews>
    <sheetView showGridLines="0" workbookViewId="0">
      <selection activeCell="B5" sqref="B5"/>
    </sheetView>
  </sheetViews>
  <sheetFormatPr defaultRowHeight="15" x14ac:dyDescent="0.25"/>
  <cols>
    <col min="2" max="2" width="30.7109375" customWidth="1"/>
    <col min="3" max="3" width="33.140625" bestFit="1" customWidth="1"/>
    <col min="6" max="6" width="16.28515625" bestFit="1" customWidth="1"/>
    <col min="7" max="7" width="17.28515625" bestFit="1" customWidth="1"/>
  </cols>
  <sheetData>
    <row r="3" spans="2:8" ht="29.25" thickBot="1" x14ac:dyDescent="0.5">
      <c r="B3" s="62" t="s">
        <v>27</v>
      </c>
      <c r="C3" s="63"/>
    </row>
    <row r="4" spans="2:8" ht="26.25" x14ac:dyDescent="0.4">
      <c r="B4" s="64" t="s">
        <v>226</v>
      </c>
      <c r="C4" s="65"/>
      <c r="H4" s="15"/>
    </row>
    <row r="5" spans="2:8" ht="26.25" x14ac:dyDescent="0.4">
      <c r="B5" s="26" t="s">
        <v>0</v>
      </c>
      <c r="C5" s="3">
        <f ca="1">Ativação!C5</f>
        <v>45585.683798379629</v>
      </c>
      <c r="F5" s="1"/>
      <c r="G5" s="1"/>
      <c r="H5" s="1"/>
    </row>
    <row r="6" spans="2:8" ht="26.25" x14ac:dyDescent="0.25">
      <c r="B6" s="19" t="s">
        <v>14</v>
      </c>
      <c r="C6" s="20">
        <f>Ativação!C6</f>
        <v>0</v>
      </c>
    </row>
    <row r="7" spans="2:8" ht="26.25" x14ac:dyDescent="0.25">
      <c r="B7" s="19" t="s">
        <v>22</v>
      </c>
      <c r="C7" s="20">
        <f>Ativação!C7</f>
        <v>0</v>
      </c>
    </row>
    <row r="8" spans="2:8" ht="26.25" x14ac:dyDescent="0.25">
      <c r="B8" s="19" t="s">
        <v>1</v>
      </c>
      <c r="C8" s="20">
        <f>Ativação!C8</f>
        <v>0</v>
      </c>
    </row>
    <row r="9" spans="2:8" ht="26.25" x14ac:dyDescent="0.25">
      <c r="B9" s="19" t="s">
        <v>25</v>
      </c>
      <c r="C9" s="20">
        <f>Ativação!C9</f>
        <v>0</v>
      </c>
    </row>
    <row r="10" spans="2:8" ht="26.25" x14ac:dyDescent="0.25">
      <c r="B10" s="19" t="s">
        <v>26</v>
      </c>
      <c r="C10" s="20">
        <f>Ativação!C10</f>
        <v>0</v>
      </c>
    </row>
    <row r="11" spans="2:8" ht="26.25" customHeight="1" x14ac:dyDescent="0.25">
      <c r="B11" s="23" t="s">
        <v>16</v>
      </c>
      <c r="C11" s="24" t="s">
        <v>19</v>
      </c>
    </row>
    <row r="12" spans="2:8" ht="26.25" customHeight="1" x14ac:dyDescent="0.25"/>
  </sheetData>
  <sheetProtection algorithmName="SHA-512" hashValue="b6ZeQgHrJQNuGfP39N2XWSh2Ed0Y1fLOR6A6NGO7d420zYf4H92p5nio2ugTdb+/3Cat3b9DmB49FzIW7Kf1qA==" saltValue="wfIjevNOasxHVCoDT8TBjQ==" spinCount="100000" sheet="1" objects="1" scenarios="1"/>
  <mergeCells count="2">
    <mergeCell ref="B3:C3"/>
    <mergeCell ref="B4:C4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700D2-D3F3-44B3-B56A-482683046775}">
  <sheetPr codeName="Planilha6">
    <tabColor rgb="FFFFC1C1"/>
  </sheetPr>
  <dimension ref="B1:AC17"/>
  <sheetViews>
    <sheetView zoomScale="80" zoomScaleNormal="80" workbookViewId="0">
      <selection activeCell="E11" sqref="E11"/>
    </sheetView>
  </sheetViews>
  <sheetFormatPr defaultRowHeight="15" x14ac:dyDescent="0.25"/>
  <cols>
    <col min="1" max="1" width="3.7109375" customWidth="1"/>
    <col min="2" max="3" width="38.140625" style="18" bestFit="1" customWidth="1"/>
    <col min="4" max="4" width="41" style="18" bestFit="1" customWidth="1"/>
    <col min="5" max="5" width="27.7109375" style="18" bestFit="1" customWidth="1"/>
    <col min="6" max="6" width="18.42578125" bestFit="1" customWidth="1"/>
    <col min="7" max="7" width="25.5703125" bestFit="1" customWidth="1"/>
    <col min="8" max="8" width="20.5703125" bestFit="1" customWidth="1"/>
    <col min="9" max="9" width="18.7109375" bestFit="1" customWidth="1"/>
    <col min="10" max="10" width="16.5703125" bestFit="1" customWidth="1"/>
    <col min="11" max="11" width="22.7109375" bestFit="1" customWidth="1"/>
    <col min="12" max="12" width="19.42578125" bestFit="1" customWidth="1"/>
    <col min="13" max="13" width="26.42578125" bestFit="1" customWidth="1"/>
    <col min="14" max="14" width="21.42578125" bestFit="1" customWidth="1"/>
    <col min="15" max="15" width="8.140625" bestFit="1" customWidth="1"/>
    <col min="16" max="16" width="12" bestFit="1" customWidth="1"/>
    <col min="17" max="17" width="15.140625" bestFit="1" customWidth="1"/>
    <col min="18" max="18" width="9.42578125" bestFit="1" customWidth="1"/>
    <col min="19" max="20" width="12.140625" bestFit="1" customWidth="1"/>
    <col min="21" max="21" width="14.5703125" bestFit="1" customWidth="1"/>
    <col min="22" max="22" width="39" bestFit="1" customWidth="1"/>
    <col min="23" max="23" width="10.28515625" bestFit="1" customWidth="1"/>
    <col min="24" max="24" width="7.42578125" bestFit="1" customWidth="1"/>
    <col min="25" max="25" width="13.140625" bestFit="1" customWidth="1"/>
    <col min="26" max="26" width="21.28515625" bestFit="1" customWidth="1"/>
    <col min="27" max="27" width="7.85546875" bestFit="1" customWidth="1"/>
    <col min="28" max="28" width="11.5703125" bestFit="1" customWidth="1"/>
    <col min="29" max="29" width="15.140625" bestFit="1" customWidth="1"/>
    <col min="30" max="30" width="15" bestFit="1" customWidth="1"/>
  </cols>
  <sheetData>
    <row r="1" spans="2:29" x14ac:dyDescent="0.25">
      <c r="B1"/>
      <c r="C1"/>
      <c r="D1"/>
      <c r="E1"/>
    </row>
    <row r="2" spans="2:29" ht="24" x14ac:dyDescent="0.25">
      <c r="B2" s="66" t="s">
        <v>11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8"/>
      <c r="U2" s="34"/>
      <c r="V2" s="34"/>
      <c r="W2" s="34"/>
      <c r="X2" s="34"/>
      <c r="Y2" s="34"/>
      <c r="Z2" s="34"/>
      <c r="AA2" s="34"/>
      <c r="AB2" s="34"/>
      <c r="AC2" s="34"/>
    </row>
    <row r="3" spans="2:29" ht="21" x14ac:dyDescent="0.35">
      <c r="B3" s="10" t="s">
        <v>9</v>
      </c>
      <c r="C3" s="9" t="s">
        <v>26</v>
      </c>
      <c r="D3" s="9" t="s">
        <v>38</v>
      </c>
      <c r="E3" s="9" t="s">
        <v>34</v>
      </c>
      <c r="F3" s="9" t="s">
        <v>29</v>
      </c>
      <c r="G3" s="9" t="s">
        <v>44</v>
      </c>
      <c r="H3" s="9" t="s">
        <v>37</v>
      </c>
      <c r="I3" s="9" t="s">
        <v>33</v>
      </c>
      <c r="J3" s="9" t="s">
        <v>28</v>
      </c>
      <c r="K3" s="9" t="s">
        <v>43</v>
      </c>
      <c r="L3" s="9" t="s">
        <v>30</v>
      </c>
      <c r="M3" s="9" t="s">
        <v>42</v>
      </c>
      <c r="N3" s="9" t="s">
        <v>5</v>
      </c>
      <c r="O3" s="9" t="s">
        <v>2</v>
      </c>
      <c r="P3" s="9" t="s">
        <v>4</v>
      </c>
      <c r="Q3" s="9" t="s">
        <v>3</v>
      </c>
      <c r="R3" s="9" t="s">
        <v>15</v>
      </c>
      <c r="S3" s="9" t="s">
        <v>32</v>
      </c>
      <c r="T3" s="11" t="s">
        <v>31</v>
      </c>
      <c r="U3" s="9"/>
      <c r="V3" s="9"/>
      <c r="W3" s="9"/>
      <c r="X3" s="9"/>
      <c r="Y3" s="9"/>
      <c r="Z3" s="9"/>
      <c r="AA3" s="9"/>
      <c r="AB3" s="9"/>
      <c r="AC3" s="9"/>
    </row>
    <row r="4" spans="2:29" x14ac:dyDescent="0.25">
      <c r="B4" s="16">
        <v>0</v>
      </c>
      <c r="C4" s="35">
        <f>IFERROR(VLOOKUP($B$4,[1]!Tabela6[#All],2,FALSE),"")</f>
        <v>0</v>
      </c>
      <c r="D4" s="35">
        <f>IFERROR(VLOOKUP($B$4,[1]!Tabela6[#All],3,FALSE),"")</f>
        <v>0</v>
      </c>
      <c r="E4" s="35">
        <f>IFERROR(VLOOKUP($B$4,[1]!Tabela6[#All],4,FALSE),"")</f>
        <v>0</v>
      </c>
      <c r="F4" s="8">
        <f>IFERROR(VLOOKUP($B$4,[1]!Tabela6[#All],5,FALSE),"")</f>
        <v>45531.717303240737</v>
      </c>
      <c r="G4" s="35">
        <f>IFERROR(VLOOKUP($B$4,[1]!Tabela6[#All],6,FALSE),"")</f>
        <v>0</v>
      </c>
      <c r="H4" s="35">
        <f>IFERROR(VLOOKUP($B$4,[1]!Tabela6[#All],7,FALSE),"")</f>
        <v>0</v>
      </c>
      <c r="I4" s="35">
        <f>IFERROR(VLOOKUP($B$4,[1]!Tabela6[#All],8,FALSE),"")</f>
        <v>0</v>
      </c>
      <c r="J4" s="8">
        <f>IFERROR(VLOOKUP($B$4,[1]!Tabela6[#All],9,FALSE),"")</f>
        <v>45531.717256944445</v>
      </c>
      <c r="K4" s="35">
        <f>IFERROR(VLOOKUP($B$4,[1]!Tabela6[#All],10,FALSE),"")</f>
        <v>0</v>
      </c>
      <c r="L4" s="8">
        <f>IFERROR(VLOOKUP($B$4,[1]!Tabela6[#All],11,FALSE),"")</f>
        <v>45531.71719166667</v>
      </c>
      <c r="M4" s="35">
        <f>IFERROR(VLOOKUP($B$4,[1]!Tabela6[#All],12,FALSE),"")</f>
        <v>0</v>
      </c>
      <c r="N4" s="35">
        <f>IFERROR(VLOOKUP($B$4,[1]!Tabela6[#All],13,FALSE),"")</f>
        <v>0</v>
      </c>
      <c r="O4" s="36">
        <f>IFERROR(VLOOKUP($B$4,[1]!Tabela6[#All],14,FALSE),"")</f>
        <v>0</v>
      </c>
      <c r="P4" s="35" t="str">
        <f>IFERROR(VLOOKUP($B$4,[1]!Tabela6[#All],15,FALSE),"")</f>
        <v>Ibirapuera</v>
      </c>
      <c r="Q4" s="35">
        <f>IFERROR(VLOOKUP($B$4,[1]!Tabela6[#All],16,FALSE),"")</f>
        <v>0</v>
      </c>
      <c r="R4" s="35" t="str">
        <f>IFERROR(VLOOKUP($B$4,[1]!Tabela6[#All],17,FALSE),"")</f>
        <v>Ativado</v>
      </c>
      <c r="S4" s="35" t="str">
        <f>IFERROR(VLOOKUP($B$4,[1]!Tabela6[#All],18,FALSE),"")</f>
        <v/>
      </c>
      <c r="T4" s="37" t="str">
        <f>IFERROR(VLOOKUP($B$4,[1]!Tabela6[#All],19,FALSE),"")</f>
        <v/>
      </c>
      <c r="U4" s="1"/>
      <c r="Y4" s="1"/>
    </row>
    <row r="5" spans="2:29" x14ac:dyDescent="0.25">
      <c r="B5"/>
      <c r="C5"/>
      <c r="D5"/>
      <c r="E5"/>
    </row>
    <row r="6" spans="2:29" x14ac:dyDescent="0.25">
      <c r="B6"/>
      <c r="C6"/>
      <c r="D6"/>
      <c r="E6"/>
    </row>
    <row r="7" spans="2:29" ht="24" x14ac:dyDescent="0.25">
      <c r="B7" s="69" t="s">
        <v>10</v>
      </c>
      <c r="C7" s="70"/>
      <c r="D7" s="70"/>
      <c r="E7" s="71"/>
      <c r="F7" s="34"/>
      <c r="G7" s="34"/>
      <c r="H7" s="34"/>
      <c r="I7" s="34"/>
      <c r="J7" s="34"/>
    </row>
    <row r="8" spans="2:29" ht="21" x14ac:dyDescent="0.25">
      <c r="B8" s="38" t="s">
        <v>13</v>
      </c>
      <c r="C8" s="38" t="s">
        <v>9</v>
      </c>
      <c r="D8" s="38" t="s">
        <v>47</v>
      </c>
      <c r="E8" s="38" t="s">
        <v>48</v>
      </c>
    </row>
    <row r="9" spans="2:29" x14ac:dyDescent="0.25">
      <c r="B9" s="1" t="s">
        <v>49</v>
      </c>
      <c r="C9" s="1">
        <v>1</v>
      </c>
      <c r="D9" s="1" t="s">
        <v>50</v>
      </c>
      <c r="E9" s="1" t="s">
        <v>51</v>
      </c>
    </row>
    <row r="10" spans="2:29" x14ac:dyDescent="0.25">
      <c r="B10" s="1" t="s">
        <v>49</v>
      </c>
      <c r="C10" s="1">
        <v>1</v>
      </c>
      <c r="D10" s="1" t="s">
        <v>33</v>
      </c>
      <c r="E10" s="1" t="s">
        <v>52</v>
      </c>
    </row>
    <row r="11" spans="2:29" x14ac:dyDescent="0.25">
      <c r="B11" s="17"/>
      <c r="C11" s="17"/>
      <c r="D11" s="17"/>
      <c r="E11" s="17"/>
    </row>
    <row r="12" spans="2:29" x14ac:dyDescent="0.25">
      <c r="B12" s="17"/>
      <c r="C12" s="17"/>
      <c r="D12" s="17"/>
      <c r="E12" s="17"/>
    </row>
    <row r="13" spans="2:29" x14ac:dyDescent="0.25">
      <c r="B13" s="17"/>
      <c r="C13" s="17"/>
      <c r="D13" s="17"/>
      <c r="E13" s="17"/>
    </row>
    <row r="14" spans="2:29" x14ac:dyDescent="0.25">
      <c r="B14" s="17"/>
      <c r="C14" s="17"/>
      <c r="D14" s="17"/>
      <c r="E14" s="17"/>
    </row>
    <row r="15" spans="2:29" x14ac:dyDescent="0.25">
      <c r="B15" s="17"/>
      <c r="C15" s="17"/>
      <c r="D15" s="17"/>
      <c r="E15" s="17"/>
    </row>
    <row r="16" spans="2:29" x14ac:dyDescent="0.25">
      <c r="B16" s="17"/>
      <c r="C16" s="17"/>
      <c r="D16" s="17"/>
      <c r="E16" s="17"/>
    </row>
    <row r="17" spans="2:5" x14ac:dyDescent="0.25">
      <c r="B17" s="17"/>
      <c r="C17" s="17"/>
      <c r="D17" s="17"/>
      <c r="E17" s="17"/>
    </row>
  </sheetData>
  <sheetProtection algorithmName="SHA-512" hashValue="8iguu4s205D5c/v0M9BbGYnDpv4XSOMt0DEE7cNcQAiiWxaiCIBEvmaCK1hdAcNfR3PwiFr/laq6rAjv/mBfmg==" saltValue="WNVIeCRdqA7w/4BLwkuMYQ==" spinCount="100000" sheet="1" objects="1" scenarios="1"/>
  <mergeCells count="2">
    <mergeCell ref="B2:T2"/>
    <mergeCell ref="B7:E7"/>
  </mergeCells>
  <pageMargins left="0.511811024" right="0.511811024" top="0.78740157499999996" bottom="0.78740157499999996" header="0.31496062000000002" footer="0.3149606200000000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88E13-F85C-483A-9CCD-066348D3619D}">
  <sheetPr codeName="Planilha7"/>
  <dimension ref="B1:T4"/>
  <sheetViews>
    <sheetView zoomScale="70" zoomScaleNormal="70" workbookViewId="0">
      <selection activeCell="I29" sqref="I29"/>
    </sheetView>
  </sheetViews>
  <sheetFormatPr defaultRowHeight="15" x14ac:dyDescent="0.25"/>
  <cols>
    <col min="2" max="2" width="20.5703125" style="1" bestFit="1" customWidth="1"/>
    <col min="3" max="3" width="25.7109375" style="1" bestFit="1" customWidth="1"/>
    <col min="4" max="4" width="37.42578125" style="1" bestFit="1" customWidth="1"/>
    <col min="5" max="5" width="35" style="1" bestFit="1" customWidth="1"/>
    <col min="6" max="6" width="35" style="1" customWidth="1"/>
    <col min="7" max="7" width="40.28515625" style="1" bestFit="1" customWidth="1"/>
    <col min="8" max="8" width="33.85546875" style="1" bestFit="1" customWidth="1"/>
    <col min="9" max="9" width="31.140625" style="1" bestFit="1" customWidth="1"/>
    <col min="10" max="10" width="31.140625" style="1" customWidth="1"/>
    <col min="11" max="11" width="36.42578125" style="1" bestFit="1" customWidth="1"/>
    <col min="12" max="12" width="31.140625" style="7" bestFit="1" customWidth="1"/>
    <col min="13" max="13" width="41.140625" style="1" bestFit="1" customWidth="1"/>
    <col min="14" max="14" width="34.42578125" style="1" bestFit="1" customWidth="1"/>
    <col min="15" max="15" width="16.42578125" style="13" bestFit="1" customWidth="1"/>
    <col min="16" max="16" width="21.7109375" style="1" bestFit="1" customWidth="1"/>
    <col min="17" max="17" width="25.85546875" style="1" bestFit="1" customWidth="1"/>
    <col min="18" max="18" width="19.140625" style="1" bestFit="1" customWidth="1"/>
    <col min="19" max="19" width="21.5703125" style="1" bestFit="1" customWidth="1"/>
    <col min="20" max="20" width="21.7109375" style="1" bestFit="1" customWidth="1"/>
  </cols>
  <sheetData>
    <row r="1" spans="2:20" x14ac:dyDescent="0.25">
      <c r="B1"/>
      <c r="C1"/>
      <c r="D1"/>
      <c r="E1"/>
      <c r="F1"/>
      <c r="G1"/>
      <c r="H1"/>
      <c r="I1"/>
      <c r="J1"/>
      <c r="K1"/>
      <c r="M1"/>
      <c r="N1"/>
      <c r="O1"/>
      <c r="P1"/>
      <c r="Q1"/>
      <c r="R1"/>
      <c r="S1"/>
      <c r="T1"/>
    </row>
    <row r="2" spans="2:20" x14ac:dyDescent="0.25">
      <c r="B2"/>
      <c r="C2"/>
      <c r="D2"/>
      <c r="E2"/>
      <c r="F2"/>
      <c r="G2"/>
      <c r="H2"/>
      <c r="I2"/>
      <c r="J2"/>
      <c r="K2"/>
      <c r="M2"/>
      <c r="N2"/>
      <c r="O2"/>
      <c r="P2"/>
      <c r="Q2"/>
      <c r="R2"/>
      <c r="S2"/>
      <c r="T2"/>
    </row>
    <row r="3" spans="2:20" ht="26.25" x14ac:dyDescent="0.25">
      <c r="B3" s="5" t="s">
        <v>12</v>
      </c>
      <c r="C3" s="5" t="s">
        <v>26</v>
      </c>
      <c r="D3" s="5" t="s">
        <v>38</v>
      </c>
      <c r="E3" s="5" t="s">
        <v>34</v>
      </c>
      <c r="F3" s="5" t="s">
        <v>29</v>
      </c>
      <c r="G3" s="5" t="s">
        <v>44</v>
      </c>
      <c r="H3" s="5" t="s">
        <v>37</v>
      </c>
      <c r="I3" s="5" t="s">
        <v>33</v>
      </c>
      <c r="J3" s="5" t="s">
        <v>28</v>
      </c>
      <c r="K3" s="5" t="s">
        <v>43</v>
      </c>
      <c r="L3" s="5" t="s">
        <v>30</v>
      </c>
      <c r="M3" s="5" t="s">
        <v>42</v>
      </c>
      <c r="N3" s="5" t="s">
        <v>5</v>
      </c>
      <c r="O3" s="5" t="s">
        <v>2</v>
      </c>
      <c r="P3" s="5" t="s">
        <v>4</v>
      </c>
      <c r="Q3" s="5" t="s">
        <v>3</v>
      </c>
      <c r="R3" s="5" t="s">
        <v>15</v>
      </c>
      <c r="S3" s="5" t="s">
        <v>32</v>
      </c>
      <c r="T3" s="5" t="s">
        <v>31</v>
      </c>
    </row>
    <row r="4" spans="2:20" x14ac:dyDescent="0.25">
      <c r="B4" s="6" t="str">
        <f>Tabela6[[#This Row],[ID Voucher]]</f>
        <v>ID Voucher</v>
      </c>
      <c r="C4" s="6" t="s">
        <v>26</v>
      </c>
      <c r="D4" s="6" t="s">
        <v>36</v>
      </c>
      <c r="E4" s="6" t="s">
        <v>34</v>
      </c>
      <c r="F4" s="6" t="s">
        <v>29</v>
      </c>
      <c r="G4" s="6" t="s">
        <v>54</v>
      </c>
      <c r="H4" s="6" t="s">
        <v>35</v>
      </c>
      <c r="I4" s="12" t="s">
        <v>33</v>
      </c>
      <c r="J4" s="6" t="s">
        <v>28</v>
      </c>
      <c r="K4" s="6" t="s">
        <v>43</v>
      </c>
      <c r="L4" s="7" t="s">
        <v>23</v>
      </c>
      <c r="M4" s="12" t="s">
        <v>22</v>
      </c>
      <c r="N4" s="12" t="s">
        <v>5</v>
      </c>
      <c r="O4" s="14" t="s">
        <v>2</v>
      </c>
      <c r="P4" s="12" t="s">
        <v>4</v>
      </c>
      <c r="Q4" s="12" t="s">
        <v>3</v>
      </c>
      <c r="R4" s="1" t="s">
        <v>17</v>
      </c>
      <c r="S4" s="1" t="str">
        <f>IF(Tabela6[[#This Row],[Status]]="Cadastro",Tabela6[[#This Row],[ID Voucher]],"")</f>
        <v/>
      </c>
      <c r="T4" s="1" t="str">
        <f>IF(Tabela6[[#This Row],[Status]]="Vendido",Tabela6[[#This Row],[ID Voucher]],"")</f>
        <v/>
      </c>
    </row>
  </sheetData>
  <sheetProtection algorithmName="SHA-512" hashValue="Ehyvn/I/uAnz7oI65vfUamBHOlE2fjFYFfC/Id9IMhqQ5WYLixn1W5yl6B7D0Lpg9yucabr+t0HRV40EZXtrBA==" saltValue="VPiWxk6oR41TRX3crB+Rjw==" spinCount="100000" sheet="1" objects="1" scenarios="1"/>
  <dataValidations count="1">
    <dataValidation type="custom" errorStyle="warning" allowBlank="1" showInputMessage="1" showErrorMessage="1" errorTitle="ID já existe na base." error="Inserção de código ID já existente." sqref="Q4:Q1048576" xr:uid="{D26D64EA-ACFA-4537-8C10-3DE085E65F30}">
      <formula1>COUNTIF($Q$4:$Q$1048576,Q4)=1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45DA0-9DC1-47D3-B749-2947228D0191}">
  <sheetPr codeName="Planilha3">
    <tabColor theme="2" tint="-9.9978637043366805E-2"/>
  </sheetPr>
  <dimension ref="B2:P163"/>
  <sheetViews>
    <sheetView workbookViewId="0">
      <selection activeCell="J4" sqref="J4"/>
    </sheetView>
  </sheetViews>
  <sheetFormatPr defaultRowHeight="15" x14ac:dyDescent="0.25"/>
  <cols>
    <col min="2" max="2" width="11.42578125" bestFit="1" customWidth="1"/>
    <col min="4" max="4" width="21.5703125" bestFit="1" customWidth="1"/>
    <col min="6" max="6" width="41.140625" bestFit="1" customWidth="1"/>
    <col min="7" max="7" width="15.5703125" bestFit="1" customWidth="1"/>
    <col min="8" max="8" width="15.5703125" customWidth="1"/>
    <col min="11" max="11" width="13.85546875" bestFit="1" customWidth="1"/>
    <col min="12" max="12" width="18.140625" bestFit="1" customWidth="1"/>
    <col min="13" max="13" width="5.28515625" customWidth="1"/>
    <col min="14" max="14" width="13.28515625" bestFit="1" customWidth="1"/>
  </cols>
  <sheetData>
    <row r="2" spans="2:16" x14ac:dyDescent="0.25">
      <c r="J2" s="72" t="s">
        <v>39</v>
      </c>
      <c r="K2" s="73"/>
      <c r="L2" s="74"/>
      <c r="N2" s="72" t="s">
        <v>45</v>
      </c>
      <c r="O2" s="73"/>
      <c r="P2" s="74"/>
    </row>
    <row r="3" spans="2:16" x14ac:dyDescent="0.25">
      <c r="B3" t="s">
        <v>55</v>
      </c>
      <c r="D3" t="s">
        <v>5</v>
      </c>
      <c r="F3" t="s">
        <v>65</v>
      </c>
      <c r="J3" s="1" t="s">
        <v>18</v>
      </c>
      <c r="K3" s="1" t="s">
        <v>40</v>
      </c>
      <c r="L3" s="1" t="s">
        <v>41</v>
      </c>
      <c r="M3" s="1"/>
      <c r="N3" s="1" t="s">
        <v>18</v>
      </c>
      <c r="O3" s="1" t="s">
        <v>40</v>
      </c>
      <c r="P3" s="1" t="s">
        <v>41</v>
      </c>
    </row>
    <row r="4" spans="2:16" x14ac:dyDescent="0.25">
      <c r="B4" t="s">
        <v>56</v>
      </c>
      <c r="D4" t="s">
        <v>59</v>
      </c>
      <c r="F4" t="s">
        <v>66</v>
      </c>
      <c r="G4" s="4"/>
      <c r="H4" s="1"/>
      <c r="J4" s="1" t="e">
        <f>(MATCH('Confirmação de Venda'!C6,Tabela6[ProcvID],0)+3)</f>
        <v>#N/A</v>
      </c>
      <c r="K4" s="1" t="str">
        <f>IFERROR("R" &amp; $J$4,"N/D")</f>
        <v>N/D</v>
      </c>
      <c r="L4" t="s">
        <v>15</v>
      </c>
      <c r="N4" s="1" t="e">
        <f>MATCH('Confirmação de Ativação'!C6,Tabela6[ProcvID],0)+3</f>
        <v>#N/A</v>
      </c>
      <c r="O4" s="1" t="str">
        <f>IFERROR("R" &amp; $N$4,"N/D")</f>
        <v>N/D</v>
      </c>
      <c r="P4" t="s">
        <v>15</v>
      </c>
    </row>
    <row r="5" spans="2:16" x14ac:dyDescent="0.25">
      <c r="B5" t="s">
        <v>57</v>
      </c>
      <c r="D5" t="s">
        <v>60</v>
      </c>
      <c r="F5" t="s">
        <v>67</v>
      </c>
      <c r="G5" s="4"/>
      <c r="H5" s="1"/>
      <c r="K5" s="1" t="str">
        <f>IFERROR("J" &amp; $J$4,"N/D")</f>
        <v>N/D</v>
      </c>
      <c r="L5" t="s">
        <v>0</v>
      </c>
      <c r="O5" s="1" t="e">
        <f>"F" &amp; $N$4</f>
        <v>#N/A</v>
      </c>
      <c r="P5" t="s">
        <v>0</v>
      </c>
    </row>
    <row r="6" spans="2:16" x14ac:dyDescent="0.25">
      <c r="B6" t="s">
        <v>58</v>
      </c>
      <c r="D6" t="s">
        <v>62</v>
      </c>
      <c r="F6" t="s">
        <v>68</v>
      </c>
      <c r="K6" s="1" t="str">
        <f>IFERROR("K" &amp; $J$4,"N/D")</f>
        <v>N/D</v>
      </c>
      <c r="L6" t="s">
        <v>22</v>
      </c>
      <c r="O6" s="1" t="e">
        <f>"G" &amp; $N$4</f>
        <v>#N/A</v>
      </c>
      <c r="P6" t="s">
        <v>22</v>
      </c>
    </row>
    <row r="7" spans="2:16" x14ac:dyDescent="0.25">
      <c r="B7" t="s">
        <v>63</v>
      </c>
      <c r="D7" t="s">
        <v>61</v>
      </c>
      <c r="F7" t="s">
        <v>69</v>
      </c>
      <c r="K7" s="1" t="str">
        <f>IFERROR("I" &amp; $J$4,"N/D")</f>
        <v>N/D</v>
      </c>
      <c r="L7" t="s">
        <v>1</v>
      </c>
      <c r="O7" s="1" t="e">
        <f>"E" &amp; $N$4</f>
        <v>#N/A</v>
      </c>
      <c r="P7" t="s">
        <v>1</v>
      </c>
    </row>
    <row r="8" spans="2:16" x14ac:dyDescent="0.25">
      <c r="F8" t="s">
        <v>70</v>
      </c>
      <c r="K8" s="1" t="str">
        <f>IFERROR("H" &amp; $J$4,"N/D")</f>
        <v>N/D</v>
      </c>
      <c r="L8" t="s">
        <v>25</v>
      </c>
      <c r="O8" s="1" t="e">
        <f>"D" &amp; $N$4</f>
        <v>#N/A</v>
      </c>
      <c r="P8" t="s">
        <v>25</v>
      </c>
    </row>
    <row r="9" spans="2:16" x14ac:dyDescent="0.25">
      <c r="F9" t="s">
        <v>71</v>
      </c>
      <c r="K9" s="1" t="str">
        <f>IFERROR("O" &amp; $J$4,"N/D")</f>
        <v>N/D</v>
      </c>
      <c r="L9" t="s">
        <v>2</v>
      </c>
      <c r="O9" s="1" t="e">
        <f>"C" &amp; $N$4</f>
        <v>#N/A</v>
      </c>
      <c r="P9" t="s">
        <v>26</v>
      </c>
    </row>
    <row r="10" spans="2:16" x14ac:dyDescent="0.25">
      <c r="F10" t="s">
        <v>72</v>
      </c>
    </row>
    <row r="11" spans="2:16" x14ac:dyDescent="0.25">
      <c r="F11" t="s">
        <v>73</v>
      </c>
    </row>
    <row r="12" spans="2:16" x14ac:dyDescent="0.25">
      <c r="F12" t="s">
        <v>74</v>
      </c>
    </row>
    <row r="13" spans="2:16" x14ac:dyDescent="0.25">
      <c r="F13" t="s">
        <v>75</v>
      </c>
    </row>
    <row r="14" spans="2:16" x14ac:dyDescent="0.25">
      <c r="F14" t="s">
        <v>76</v>
      </c>
    </row>
    <row r="15" spans="2:16" x14ac:dyDescent="0.25">
      <c r="F15" t="s">
        <v>77</v>
      </c>
    </row>
    <row r="16" spans="2:16" x14ac:dyDescent="0.25">
      <c r="F16" t="s">
        <v>78</v>
      </c>
    </row>
    <row r="17" spans="6:6" x14ac:dyDescent="0.25">
      <c r="F17" t="s">
        <v>79</v>
      </c>
    </row>
    <row r="18" spans="6:6" x14ac:dyDescent="0.25">
      <c r="F18" t="s">
        <v>80</v>
      </c>
    </row>
    <row r="19" spans="6:6" x14ac:dyDescent="0.25">
      <c r="F19" t="s">
        <v>81</v>
      </c>
    </row>
    <row r="20" spans="6:6" x14ac:dyDescent="0.25">
      <c r="F20" t="s">
        <v>82</v>
      </c>
    </row>
    <row r="21" spans="6:6" x14ac:dyDescent="0.25">
      <c r="F21" t="s">
        <v>83</v>
      </c>
    </row>
    <row r="22" spans="6:6" x14ac:dyDescent="0.25">
      <c r="F22" t="s">
        <v>84</v>
      </c>
    </row>
    <row r="23" spans="6:6" x14ac:dyDescent="0.25">
      <c r="F23" t="s">
        <v>85</v>
      </c>
    </row>
    <row r="24" spans="6:6" x14ac:dyDescent="0.25">
      <c r="F24" t="s">
        <v>86</v>
      </c>
    </row>
    <row r="25" spans="6:6" x14ac:dyDescent="0.25">
      <c r="F25" t="s">
        <v>87</v>
      </c>
    </row>
    <row r="26" spans="6:6" x14ac:dyDescent="0.25">
      <c r="F26" t="s">
        <v>88</v>
      </c>
    </row>
    <row r="27" spans="6:6" x14ac:dyDescent="0.25">
      <c r="F27" t="s">
        <v>89</v>
      </c>
    </row>
    <row r="28" spans="6:6" x14ac:dyDescent="0.25">
      <c r="F28" t="s">
        <v>90</v>
      </c>
    </row>
    <row r="29" spans="6:6" x14ac:dyDescent="0.25">
      <c r="F29" t="s">
        <v>91</v>
      </c>
    </row>
    <row r="30" spans="6:6" x14ac:dyDescent="0.25">
      <c r="F30" t="s">
        <v>92</v>
      </c>
    </row>
    <row r="31" spans="6:6" x14ac:dyDescent="0.25">
      <c r="F31" t="s">
        <v>93</v>
      </c>
    </row>
    <row r="32" spans="6:6" x14ac:dyDescent="0.25">
      <c r="F32" t="s">
        <v>94</v>
      </c>
    </row>
    <row r="33" spans="6:6" x14ac:dyDescent="0.25">
      <c r="F33" t="s">
        <v>95</v>
      </c>
    </row>
    <row r="34" spans="6:6" x14ac:dyDescent="0.25">
      <c r="F34" t="s">
        <v>96</v>
      </c>
    </row>
    <row r="35" spans="6:6" x14ac:dyDescent="0.25">
      <c r="F35" t="s">
        <v>97</v>
      </c>
    </row>
    <row r="36" spans="6:6" x14ac:dyDescent="0.25">
      <c r="F36" t="s">
        <v>98</v>
      </c>
    </row>
    <row r="37" spans="6:6" x14ac:dyDescent="0.25">
      <c r="F37" t="s">
        <v>99</v>
      </c>
    </row>
    <row r="38" spans="6:6" x14ac:dyDescent="0.25">
      <c r="F38" t="s">
        <v>100</v>
      </c>
    </row>
    <row r="39" spans="6:6" x14ac:dyDescent="0.25">
      <c r="F39" t="s">
        <v>101</v>
      </c>
    </row>
    <row r="40" spans="6:6" x14ac:dyDescent="0.25">
      <c r="F40" t="s">
        <v>102</v>
      </c>
    </row>
    <row r="41" spans="6:6" x14ac:dyDescent="0.25">
      <c r="F41" t="s">
        <v>103</v>
      </c>
    </row>
    <row r="42" spans="6:6" x14ac:dyDescent="0.25">
      <c r="F42" t="s">
        <v>104</v>
      </c>
    </row>
    <row r="43" spans="6:6" x14ac:dyDescent="0.25">
      <c r="F43" t="s">
        <v>105</v>
      </c>
    </row>
    <row r="44" spans="6:6" x14ac:dyDescent="0.25">
      <c r="F44" t="s">
        <v>106</v>
      </c>
    </row>
    <row r="45" spans="6:6" x14ac:dyDescent="0.25">
      <c r="F45" t="s">
        <v>107</v>
      </c>
    </row>
    <row r="46" spans="6:6" x14ac:dyDescent="0.25">
      <c r="F46" t="s">
        <v>108</v>
      </c>
    </row>
    <row r="47" spans="6:6" x14ac:dyDescent="0.25">
      <c r="F47" t="s">
        <v>109</v>
      </c>
    </row>
    <row r="48" spans="6:6" x14ac:dyDescent="0.25">
      <c r="F48" t="s">
        <v>110</v>
      </c>
    </row>
    <row r="49" spans="6:6" x14ac:dyDescent="0.25">
      <c r="F49" t="s">
        <v>111</v>
      </c>
    </row>
    <row r="50" spans="6:6" x14ac:dyDescent="0.25">
      <c r="F50" t="s">
        <v>112</v>
      </c>
    </row>
    <row r="51" spans="6:6" x14ac:dyDescent="0.25">
      <c r="F51" t="s">
        <v>113</v>
      </c>
    </row>
    <row r="52" spans="6:6" x14ac:dyDescent="0.25">
      <c r="F52" t="s">
        <v>114</v>
      </c>
    </row>
    <row r="53" spans="6:6" x14ac:dyDescent="0.25">
      <c r="F53" t="s">
        <v>115</v>
      </c>
    </row>
    <row r="54" spans="6:6" x14ac:dyDescent="0.25">
      <c r="F54" t="s">
        <v>116</v>
      </c>
    </row>
    <row r="55" spans="6:6" x14ac:dyDescent="0.25">
      <c r="F55" t="s">
        <v>117</v>
      </c>
    </row>
    <row r="56" spans="6:6" x14ac:dyDescent="0.25">
      <c r="F56" t="s">
        <v>118</v>
      </c>
    </row>
    <row r="57" spans="6:6" x14ac:dyDescent="0.25">
      <c r="F57" t="s">
        <v>119</v>
      </c>
    </row>
    <row r="58" spans="6:6" x14ac:dyDescent="0.25">
      <c r="F58" t="s">
        <v>120</v>
      </c>
    </row>
    <row r="59" spans="6:6" x14ac:dyDescent="0.25">
      <c r="F59" t="s">
        <v>121</v>
      </c>
    </row>
    <row r="60" spans="6:6" x14ac:dyDescent="0.25">
      <c r="F60" t="s">
        <v>122</v>
      </c>
    </row>
    <row r="61" spans="6:6" x14ac:dyDescent="0.25">
      <c r="F61" t="s">
        <v>123</v>
      </c>
    </row>
    <row r="62" spans="6:6" x14ac:dyDescent="0.25">
      <c r="F62" t="s">
        <v>124</v>
      </c>
    </row>
    <row r="63" spans="6:6" x14ac:dyDescent="0.25">
      <c r="F63" t="s">
        <v>125</v>
      </c>
    </row>
    <row r="64" spans="6:6" x14ac:dyDescent="0.25">
      <c r="F64" t="s">
        <v>126</v>
      </c>
    </row>
    <row r="65" spans="6:6" x14ac:dyDescent="0.25">
      <c r="F65" t="s">
        <v>127</v>
      </c>
    </row>
    <row r="66" spans="6:6" x14ac:dyDescent="0.25">
      <c r="F66" t="s">
        <v>128</v>
      </c>
    </row>
    <row r="67" spans="6:6" x14ac:dyDescent="0.25">
      <c r="F67" t="s">
        <v>129</v>
      </c>
    </row>
    <row r="68" spans="6:6" x14ac:dyDescent="0.25">
      <c r="F68" t="s">
        <v>130</v>
      </c>
    </row>
    <row r="69" spans="6:6" x14ac:dyDescent="0.25">
      <c r="F69" t="s">
        <v>131</v>
      </c>
    </row>
    <row r="70" spans="6:6" x14ac:dyDescent="0.25">
      <c r="F70" t="s">
        <v>132</v>
      </c>
    </row>
    <row r="71" spans="6:6" x14ac:dyDescent="0.25">
      <c r="F71" t="s">
        <v>133</v>
      </c>
    </row>
    <row r="72" spans="6:6" x14ac:dyDescent="0.25">
      <c r="F72" t="s">
        <v>134</v>
      </c>
    </row>
    <row r="73" spans="6:6" x14ac:dyDescent="0.25">
      <c r="F73" t="s">
        <v>135</v>
      </c>
    </row>
    <row r="74" spans="6:6" x14ac:dyDescent="0.25">
      <c r="F74" t="s">
        <v>136</v>
      </c>
    </row>
    <row r="75" spans="6:6" x14ac:dyDescent="0.25">
      <c r="F75" t="s">
        <v>137</v>
      </c>
    </row>
    <row r="76" spans="6:6" x14ac:dyDescent="0.25">
      <c r="F76" t="s">
        <v>138</v>
      </c>
    </row>
    <row r="77" spans="6:6" x14ac:dyDescent="0.25">
      <c r="F77" t="s">
        <v>139</v>
      </c>
    </row>
    <row r="78" spans="6:6" x14ac:dyDescent="0.25">
      <c r="F78" t="s">
        <v>140</v>
      </c>
    </row>
    <row r="79" spans="6:6" x14ac:dyDescent="0.25">
      <c r="F79" t="s">
        <v>141</v>
      </c>
    </row>
    <row r="80" spans="6:6" x14ac:dyDescent="0.25">
      <c r="F80" t="s">
        <v>142</v>
      </c>
    </row>
    <row r="81" spans="6:6" x14ac:dyDescent="0.25">
      <c r="F81" t="s">
        <v>143</v>
      </c>
    </row>
    <row r="82" spans="6:6" x14ac:dyDescent="0.25">
      <c r="F82" t="s">
        <v>144</v>
      </c>
    </row>
    <row r="83" spans="6:6" x14ac:dyDescent="0.25">
      <c r="F83" t="s">
        <v>145</v>
      </c>
    </row>
    <row r="84" spans="6:6" x14ac:dyDescent="0.25">
      <c r="F84" t="s">
        <v>146</v>
      </c>
    </row>
    <row r="85" spans="6:6" x14ac:dyDescent="0.25">
      <c r="F85" t="s">
        <v>147</v>
      </c>
    </row>
    <row r="86" spans="6:6" x14ac:dyDescent="0.25">
      <c r="F86" t="s">
        <v>148</v>
      </c>
    </row>
    <row r="87" spans="6:6" x14ac:dyDescent="0.25">
      <c r="F87" t="s">
        <v>149</v>
      </c>
    </row>
    <row r="88" spans="6:6" x14ac:dyDescent="0.25">
      <c r="F88" t="s">
        <v>150</v>
      </c>
    </row>
    <row r="89" spans="6:6" x14ac:dyDescent="0.25">
      <c r="F89" t="s">
        <v>151</v>
      </c>
    </row>
    <row r="90" spans="6:6" x14ac:dyDescent="0.25">
      <c r="F90" t="s">
        <v>152</v>
      </c>
    </row>
    <row r="91" spans="6:6" x14ac:dyDescent="0.25">
      <c r="F91" t="s">
        <v>153</v>
      </c>
    </row>
    <row r="92" spans="6:6" x14ac:dyDescent="0.25">
      <c r="F92" t="s">
        <v>154</v>
      </c>
    </row>
    <row r="93" spans="6:6" x14ac:dyDescent="0.25">
      <c r="F93" t="s">
        <v>155</v>
      </c>
    </row>
    <row r="94" spans="6:6" x14ac:dyDescent="0.25">
      <c r="F94" t="s">
        <v>156</v>
      </c>
    </row>
    <row r="95" spans="6:6" x14ac:dyDescent="0.25">
      <c r="F95" t="s">
        <v>157</v>
      </c>
    </row>
    <row r="96" spans="6:6" x14ac:dyDescent="0.25">
      <c r="F96" t="s">
        <v>158</v>
      </c>
    </row>
    <row r="97" spans="6:6" x14ac:dyDescent="0.25">
      <c r="F97" t="s">
        <v>159</v>
      </c>
    </row>
    <row r="98" spans="6:6" x14ac:dyDescent="0.25">
      <c r="F98" t="s">
        <v>160</v>
      </c>
    </row>
    <row r="99" spans="6:6" x14ac:dyDescent="0.25">
      <c r="F99" t="s">
        <v>161</v>
      </c>
    </row>
    <row r="100" spans="6:6" x14ac:dyDescent="0.25">
      <c r="F100" t="s">
        <v>162</v>
      </c>
    </row>
    <row r="101" spans="6:6" x14ac:dyDescent="0.25">
      <c r="F101" t="s">
        <v>163</v>
      </c>
    </row>
    <row r="102" spans="6:6" x14ac:dyDescent="0.25">
      <c r="F102" t="s">
        <v>164</v>
      </c>
    </row>
    <row r="103" spans="6:6" x14ac:dyDescent="0.25">
      <c r="F103" t="s">
        <v>165</v>
      </c>
    </row>
    <row r="104" spans="6:6" x14ac:dyDescent="0.25">
      <c r="F104" t="s">
        <v>166</v>
      </c>
    </row>
    <row r="105" spans="6:6" x14ac:dyDescent="0.25">
      <c r="F105" t="s">
        <v>167</v>
      </c>
    </row>
    <row r="106" spans="6:6" x14ac:dyDescent="0.25">
      <c r="F106" t="s">
        <v>168</v>
      </c>
    </row>
    <row r="107" spans="6:6" x14ac:dyDescent="0.25">
      <c r="F107" t="s">
        <v>169</v>
      </c>
    </row>
    <row r="108" spans="6:6" x14ac:dyDescent="0.25">
      <c r="F108" t="s">
        <v>170</v>
      </c>
    </row>
    <row r="109" spans="6:6" x14ac:dyDescent="0.25">
      <c r="F109" t="s">
        <v>171</v>
      </c>
    </row>
    <row r="110" spans="6:6" x14ac:dyDescent="0.25">
      <c r="F110" t="s">
        <v>172</v>
      </c>
    </row>
    <row r="111" spans="6:6" x14ac:dyDescent="0.25">
      <c r="F111" t="s">
        <v>173</v>
      </c>
    </row>
    <row r="112" spans="6:6" x14ac:dyDescent="0.25">
      <c r="F112" t="s">
        <v>174</v>
      </c>
    </row>
    <row r="113" spans="6:6" x14ac:dyDescent="0.25">
      <c r="F113" t="s">
        <v>175</v>
      </c>
    </row>
    <row r="114" spans="6:6" x14ac:dyDescent="0.25">
      <c r="F114" t="s">
        <v>176</v>
      </c>
    </row>
    <row r="115" spans="6:6" x14ac:dyDescent="0.25">
      <c r="F115" t="s">
        <v>177</v>
      </c>
    </row>
    <row r="116" spans="6:6" x14ac:dyDescent="0.25">
      <c r="F116" t="s">
        <v>178</v>
      </c>
    </row>
    <row r="117" spans="6:6" x14ac:dyDescent="0.25">
      <c r="F117" t="s">
        <v>179</v>
      </c>
    </row>
    <row r="118" spans="6:6" x14ac:dyDescent="0.25">
      <c r="F118" t="s">
        <v>180</v>
      </c>
    </row>
    <row r="119" spans="6:6" x14ac:dyDescent="0.25">
      <c r="F119" t="s">
        <v>181</v>
      </c>
    </row>
    <row r="120" spans="6:6" x14ac:dyDescent="0.25">
      <c r="F120" t="s">
        <v>182</v>
      </c>
    </row>
    <row r="121" spans="6:6" x14ac:dyDescent="0.25">
      <c r="F121" t="s">
        <v>183</v>
      </c>
    </row>
    <row r="122" spans="6:6" x14ac:dyDescent="0.25">
      <c r="F122" t="s">
        <v>184</v>
      </c>
    </row>
    <row r="123" spans="6:6" x14ac:dyDescent="0.25">
      <c r="F123" t="s">
        <v>185</v>
      </c>
    </row>
    <row r="124" spans="6:6" x14ac:dyDescent="0.25">
      <c r="F124" t="s">
        <v>186</v>
      </c>
    </row>
    <row r="125" spans="6:6" x14ac:dyDescent="0.25">
      <c r="F125" t="s">
        <v>187</v>
      </c>
    </row>
    <row r="126" spans="6:6" x14ac:dyDescent="0.25">
      <c r="F126" t="s">
        <v>188</v>
      </c>
    </row>
    <row r="127" spans="6:6" x14ac:dyDescent="0.25">
      <c r="F127" t="s">
        <v>189</v>
      </c>
    </row>
    <row r="128" spans="6:6" x14ac:dyDescent="0.25">
      <c r="F128" t="s">
        <v>190</v>
      </c>
    </row>
    <row r="129" spans="6:6" x14ac:dyDescent="0.25">
      <c r="F129" t="s">
        <v>191</v>
      </c>
    </row>
    <row r="130" spans="6:6" x14ac:dyDescent="0.25">
      <c r="F130" t="s">
        <v>192</v>
      </c>
    </row>
    <row r="131" spans="6:6" x14ac:dyDescent="0.25">
      <c r="F131" t="s">
        <v>193</v>
      </c>
    </row>
    <row r="132" spans="6:6" x14ac:dyDescent="0.25">
      <c r="F132" t="s">
        <v>194</v>
      </c>
    </row>
    <row r="133" spans="6:6" x14ac:dyDescent="0.25">
      <c r="F133" t="s">
        <v>195</v>
      </c>
    </row>
    <row r="134" spans="6:6" x14ac:dyDescent="0.25">
      <c r="F134" t="s">
        <v>196</v>
      </c>
    </row>
    <row r="135" spans="6:6" x14ac:dyDescent="0.25">
      <c r="F135" t="s">
        <v>197</v>
      </c>
    </row>
    <row r="136" spans="6:6" x14ac:dyDescent="0.25">
      <c r="F136" t="s">
        <v>198</v>
      </c>
    </row>
    <row r="137" spans="6:6" x14ac:dyDescent="0.25">
      <c r="F137" t="s">
        <v>199</v>
      </c>
    </row>
    <row r="138" spans="6:6" x14ac:dyDescent="0.25">
      <c r="F138" t="s">
        <v>200</v>
      </c>
    </row>
    <row r="139" spans="6:6" x14ac:dyDescent="0.25">
      <c r="F139" t="s">
        <v>201</v>
      </c>
    </row>
    <row r="140" spans="6:6" x14ac:dyDescent="0.25">
      <c r="F140" t="s">
        <v>202</v>
      </c>
    </row>
    <row r="141" spans="6:6" x14ac:dyDescent="0.25">
      <c r="F141" t="s">
        <v>203</v>
      </c>
    </row>
    <row r="142" spans="6:6" x14ac:dyDescent="0.25">
      <c r="F142" t="s">
        <v>204</v>
      </c>
    </row>
    <row r="143" spans="6:6" x14ac:dyDescent="0.25">
      <c r="F143" t="s">
        <v>205</v>
      </c>
    </row>
    <row r="144" spans="6:6" x14ac:dyDescent="0.25">
      <c r="F144" t="s">
        <v>206</v>
      </c>
    </row>
    <row r="145" spans="6:6" x14ac:dyDescent="0.25">
      <c r="F145" t="s">
        <v>207</v>
      </c>
    </row>
    <row r="146" spans="6:6" x14ac:dyDescent="0.25">
      <c r="F146" t="s">
        <v>208</v>
      </c>
    </row>
    <row r="147" spans="6:6" x14ac:dyDescent="0.25">
      <c r="F147" t="s">
        <v>209</v>
      </c>
    </row>
    <row r="148" spans="6:6" x14ac:dyDescent="0.25">
      <c r="F148" t="s">
        <v>210</v>
      </c>
    </row>
    <row r="149" spans="6:6" x14ac:dyDescent="0.25">
      <c r="F149" t="s">
        <v>211</v>
      </c>
    </row>
    <row r="150" spans="6:6" x14ac:dyDescent="0.25">
      <c r="F150" t="s">
        <v>212</v>
      </c>
    </row>
    <row r="151" spans="6:6" x14ac:dyDescent="0.25">
      <c r="F151" t="s">
        <v>213</v>
      </c>
    </row>
    <row r="152" spans="6:6" x14ac:dyDescent="0.25">
      <c r="F152" t="s">
        <v>214</v>
      </c>
    </row>
    <row r="153" spans="6:6" x14ac:dyDescent="0.25">
      <c r="F153" t="s">
        <v>215</v>
      </c>
    </row>
    <row r="154" spans="6:6" x14ac:dyDescent="0.25">
      <c r="F154" t="s">
        <v>216</v>
      </c>
    </row>
    <row r="155" spans="6:6" x14ac:dyDescent="0.25">
      <c r="F155" t="s">
        <v>217</v>
      </c>
    </row>
    <row r="156" spans="6:6" x14ac:dyDescent="0.25">
      <c r="F156" t="s">
        <v>218</v>
      </c>
    </row>
    <row r="157" spans="6:6" x14ac:dyDescent="0.25">
      <c r="F157" t="s">
        <v>219</v>
      </c>
    </row>
    <row r="158" spans="6:6" x14ac:dyDescent="0.25">
      <c r="F158" t="s">
        <v>220</v>
      </c>
    </row>
    <row r="159" spans="6:6" x14ac:dyDescent="0.25">
      <c r="F159" t="s">
        <v>221</v>
      </c>
    </row>
    <row r="160" spans="6:6" x14ac:dyDescent="0.25">
      <c r="F160" t="s">
        <v>222</v>
      </c>
    </row>
    <row r="161" spans="6:6" x14ac:dyDescent="0.25">
      <c r="F161" t="s">
        <v>223</v>
      </c>
    </row>
    <row r="162" spans="6:6" x14ac:dyDescent="0.25">
      <c r="F162" t="s">
        <v>224</v>
      </c>
    </row>
    <row r="163" spans="6:6" x14ac:dyDescent="0.25">
      <c r="F163" t="s">
        <v>225</v>
      </c>
    </row>
  </sheetData>
  <sheetProtection algorithmName="SHA-512" hashValue="F/upQpEyePpLnujQw0opCCAXOT0dm8vHCHqFH/J5hgQVVvotMKHYPhN03SN4BnRt2ogqZJFGEMRxys0cFRmrbw==" saltValue="n6c85ZuVHH3uh52W1LLtlQ==" spinCount="100000" sheet="1" objects="1" scenarios="1"/>
  <mergeCells count="2">
    <mergeCell ref="J2:L2"/>
    <mergeCell ref="N2:P2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Menu</vt:lpstr>
      <vt:lpstr>Cadastro</vt:lpstr>
      <vt:lpstr>Confirmação</vt:lpstr>
      <vt:lpstr>Venda</vt:lpstr>
      <vt:lpstr>Confirmação de Venda</vt:lpstr>
      <vt:lpstr>Ativação</vt:lpstr>
      <vt:lpstr>Confirmação de Ativação</vt:lpstr>
      <vt:lpstr>Alteração</vt:lpstr>
      <vt:lpstr>BancoCadastros</vt:lpstr>
      <vt:lpstr>ListasDeDados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M.</dc:creator>
  <cp:lastModifiedBy>Vinicius M.</cp:lastModifiedBy>
  <dcterms:created xsi:type="dcterms:W3CDTF">2024-06-30T19:14:05Z</dcterms:created>
  <dcterms:modified xsi:type="dcterms:W3CDTF">2024-10-20T19:24:51Z</dcterms:modified>
</cp:coreProperties>
</file>